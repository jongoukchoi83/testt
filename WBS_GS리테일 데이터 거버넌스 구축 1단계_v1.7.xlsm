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xlganttTabId001" Type="http://schemas.microsoft.com/office/2006/relationships/ui/extensibility" Target="customUI/customUI.xml"/><Relationship Id="rId7" Type="http://schemas.openxmlformats.org/officeDocument/2006/relationships/extended-properties" Target="docProps/app.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6/relationships/ui/userCustomization" Target="NUL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https://gsretail.sharepoint.com/sites/PJT_DataGovernance/Shared Documents/01. 프로젝트관리/02. WBS/"/>
    </mc:Choice>
  </mc:AlternateContent>
  <xr:revisionPtr revIDLastSave="143" documentId="13_ncr:1_{A1F128DB-A3C4-4147-8CE1-9F70283F6E20}" xr6:coauthVersionLast="47" xr6:coauthVersionMax="47" xr10:uidLastSave="{B33CCBE5-F776-430C-B29F-26406FA41D42}"/>
  <bookViews>
    <workbookView xWindow="22980" yWindow="-60" windowWidth="19320" windowHeight="10320" tabRatio="453" firstSheet="2" activeTab="2" xr2:uid="{00000000-000D-0000-FFFF-FFFF00000000}"/>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externalReferences>
    <externalReference r:id="rId10"/>
  </externalReferences>
  <definedNames>
    <definedName name="_xlnm._FilterDatabase" localSheetId="2" hidden="1">Schedule!$A$4:$AF$83</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Schedule!$D$1:$BM$95</definedName>
    <definedName name="RATE_GAP">Progress!$B$24</definedName>
    <definedName name="RNG_ACTUAL_END_DATE_COL_NAME">Schedule!$Y$3</definedName>
    <definedName name="RNG_ACTUAL_RATE_COL_NAME">Schedule!$AF$3</definedName>
    <definedName name="RNG_ACTUAL_START_DATE_COL_NAME">Schedule!$X$3</definedName>
    <definedName name="RNG_ACTUAL_TOTAL_DURATION_COL_NAME">Schedule!$AA$3</definedName>
    <definedName name="RNG_ACTUAL_TOTAL_WORKLOAD_COL_NAME">Schedule!$Z$3</definedName>
    <definedName name="RNG_CALENDAR_COL_NAME">Schedule!$S$3</definedName>
    <definedName name="RNG_DELIVERABLES_COL_NAME">Schedule!$AD$3</definedName>
    <definedName name="RNG_END_DATE_COL_NAME">Schedule!$R$3</definedName>
    <definedName name="RNG_ETC_COL_NAME">Schedule!$P$3</definedName>
    <definedName name="RNG_GANTT_AREA_FIRST_COL_NAME">Schedule!$AG$4</definedName>
    <definedName name="RNG_PLAN_DURATION_COL_NAME">Schedule!$W$3</definedName>
    <definedName name="RNG_PLAN_RATE_COL_NAME">Schedule!$AE$3</definedName>
    <definedName name="RNG_PLAN_WORKLOAD_COL_NAME">Schedule!$U$3</definedName>
    <definedName name="RNG_RESOURCE_COL_NAME">Schedule!$AC$3</definedName>
    <definedName name="RNG_RESOURCE_WEIGHT_COL_NAME">Schedule!$AB$3</definedName>
    <definedName name="RNG_START_DATE_COL_NAME">Schedule!$Q$3</definedName>
    <definedName name="RNG_TASK_FIRST_COL_NAME">Schedule!$E$3</definedName>
    <definedName name="RNG_TOTAL_DURATION_COL_NAME">Schedule!$V$3</definedName>
    <definedName name="RNG_TOTAL_WORKLOAD_COL_NAME">Schedule!$T$3</definedName>
    <definedName name="RNG_WBS_AREA_LAST_COL_NAME">Schedule!$AF$3</definedName>
    <definedName name="RNG_WBS_COL_NAME">Schedule!$D$3</definedName>
    <definedName name="RNG_WBS_LEVEL_COL_NAME">Schedule!$C$3</definedName>
    <definedName name="STD_CAL">Calendar!$B$5:$B$288</definedName>
    <definedName name="TOTAL_WORKLOAD">Progress!$B$6</definedName>
    <definedName name="UD_CAL1">Calendar!$E$5:$E$288</definedName>
    <definedName name="UD_CAL2">Calendar!$H$5:$H$288</definedName>
    <definedName name="Z_02FBC6E6_CD2B_48E2_BC55_64C05A10B473_.wvu.FilterData" localSheetId="2" hidden="1">Schedule!$E$4:$X$4</definedName>
    <definedName name="Z_0A64F8D9_59E4_4471_A54B_AB6085820F8B_.wvu.FilterData" localSheetId="2" hidden="1">Schedule!$E$4:$X$4</definedName>
    <definedName name="Z_0A64F8D9_59E4_4471_A54B_AB6085820F8B_.wvu.PrintArea" localSheetId="2" hidden="1">Schedule!$E$4:$AF$4</definedName>
    <definedName name="Z_0B810681_CC81_4141_9F16_24B3FD4F0FB8_.wvu.FilterData" localSheetId="2" hidden="1">Schedule!$E$4:$X$4</definedName>
    <definedName name="Z_0B810681_CC81_4141_9F16_24B3FD4F0FB8_.wvu.PrintArea" localSheetId="2" hidden="1">Schedule!$E$4:$AF$4</definedName>
    <definedName name="Z_45F170B6_3544_43F8_BFC7_D657B723AABC_.wvu.FilterData" localSheetId="2" hidden="1">Schedule!$E$4:$X$4</definedName>
    <definedName name="Z_45F170B6_3544_43F8_BFC7_D657B723AABC_.wvu.PrintArea" localSheetId="2" hidden="1">Schedule!$E$4:$AF$4</definedName>
    <definedName name="Z_6C04A49A_6140_42F5_B660_358F3428D555_.wvu.FilterData" localSheetId="2" hidden="1">Schedule!$E$4:$X$4</definedName>
    <definedName name="Z_6C04A49A_6140_42F5_B660_358F3428D555_.wvu.PrintArea" localSheetId="2" hidden="1">Schedule!$E$4:$AF$4</definedName>
    <definedName name="Z_717B341C_ADF7_4494_8FE3_F9159C14788B_.wvu.FilterData" localSheetId="2" hidden="1">Schedule!$E$4:$X$4</definedName>
    <definedName name="Z_96DEAA77_2828_4E97_975A_CF93EF5D9712_.wvu.FilterData" localSheetId="2" hidden="1">Schedule!$E$4:$X$4</definedName>
    <definedName name="Z_AF9F6769_16BA_4444_B539_537212F9672A_.wvu.FilterData" localSheetId="2" hidden="1">Schedule!$E$4:$X$4</definedName>
    <definedName name="Z_AF9F6769_16BA_4444_B539_537212F9672A_.wvu.PrintArea" localSheetId="2" hidden="1">Schedule!$E$4:$AF$4</definedName>
    <definedName name="Z_B0AA3114_3257_4D99_8E15_F0A183B56293_.wvu.FilterData" localSheetId="2" hidden="1">Schedule!$E$4:$X$4</definedName>
    <definedName name="Z_B4798534_C27D_422C_BD87_0A71D9C8BAA9_.wvu.FilterData" localSheetId="2" hidden="1">Schedule!$E$4:$X$4</definedName>
    <definedName name="Z_C7B87852_3417_4B82_AD8F_04929FC46960_.wvu.FilterData" localSheetId="2" hidden="1">Schedule!$E$4:$X$4</definedName>
    <definedName name="Z_CD147E05_78AB_4F1A_996E_7FAB0BB4629B_.wvu.FilterData" localSheetId="2" hidden="1">Schedule!$E$4:$X$4</definedName>
    <definedName name="Z_F8F33EAC_6737_4237_A48D_05833D89E8C9_.wvu.FilterData" localSheetId="2" hidden="1">Schedule!$E$4:$X$4</definedName>
    <definedName name="Z_F8F33EAC_6737_4237_A48D_05833D89E8C9_.wvu.PrintArea" localSheetId="2" hidden="1">Schedule!$E$4:$AF$4</definedName>
    <definedName name="Z_FA644498_2FA7_4E23_AA15_463455A1D2EE_.wvu.FilterData" localSheetId="2" hidden="1">Schedule!$E$4:$X$4</definedName>
    <definedName name="주차">[1]주차!$C$3:$L$25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G5" i="2" l="1"/>
  <c r="BB5" i="2"/>
  <c r="AG6" i="2"/>
  <c r="AG7" i="2"/>
  <c r="AH8" i="2"/>
  <c r="AG9" i="2"/>
  <c r="BB9" i="2"/>
  <c r="AG10" i="2"/>
  <c r="BB10" i="2"/>
  <c r="AS11" i="2"/>
  <c r="BA12" i="2"/>
  <c r="BA13" i="2"/>
  <c r="BB14" i="2"/>
  <c r="AG15" i="2"/>
  <c r="AM15" i="2"/>
  <c r="AG16" i="2"/>
  <c r="AG17" i="2"/>
  <c r="AG18" i="2"/>
  <c r="AH19" i="2"/>
  <c r="AG20" i="2"/>
  <c r="AL20" i="2"/>
  <c r="AG21" i="2"/>
  <c r="AH22" i="2"/>
  <c r="AJ23" i="2"/>
  <c r="AK24" i="2"/>
  <c r="AK25" i="2"/>
  <c r="AM26" i="2"/>
  <c r="AJ27" i="2"/>
  <c r="BB27" i="2"/>
  <c r="AJ28" i="2"/>
  <c r="AN28" i="2"/>
  <c r="AJ29" i="2"/>
  <c r="AJ30" i="2"/>
  <c r="AL31" i="2"/>
  <c r="AN32" i="2"/>
  <c r="AN33" i="2"/>
  <c r="BB33" i="2"/>
  <c r="AN34" i="2"/>
  <c r="AT34" i="2"/>
  <c r="AN35" i="2"/>
  <c r="AS35" i="2"/>
  <c r="AT36" i="2"/>
  <c r="AQ37" i="2"/>
  <c r="AS38" i="2"/>
  <c r="BA38" i="2"/>
  <c r="AS39" i="2"/>
  <c r="AS40" i="2"/>
  <c r="AY40" i="2"/>
  <c r="AX41" i="2"/>
  <c r="BA42" i="2"/>
  <c r="BB43" i="2"/>
  <c r="BB44" i="2"/>
  <c r="AL45" i="2"/>
  <c r="AW45" i="2"/>
  <c r="AL46" i="2"/>
  <c r="AM47" i="2"/>
  <c r="AP48" i="2"/>
  <c r="AR49" i="2"/>
  <c r="AT50" i="2"/>
  <c r="AV51" i="2"/>
  <c r="AQ52" i="2"/>
  <c r="AY52" i="2"/>
  <c r="AQ53" i="2"/>
  <c r="AT54" i="2"/>
  <c r="AW54" i="2"/>
  <c r="AT55" i="2"/>
  <c r="AT56" i="2"/>
  <c r="AV57" i="2"/>
  <c r="AV58" i="2"/>
  <c r="AV59" i="2"/>
  <c r="AX60" i="2"/>
  <c r="AZ61" i="2"/>
  <c r="AZ62" i="2"/>
  <c r="BA63" i="2"/>
  <c r="AG64" i="2"/>
  <c r="BB64" i="2"/>
  <c r="AH65" i="2"/>
  <c r="BB65" i="2"/>
  <c r="AH66" i="2"/>
  <c r="AK67" i="2"/>
  <c r="BB67" i="2"/>
  <c r="AK68" i="2"/>
  <c r="AW68" i="2"/>
  <c r="AK69" i="2"/>
  <c r="AN69" i="2"/>
  <c r="AK70" i="2"/>
  <c r="AL71" i="2"/>
  <c r="AM72" i="2"/>
  <c r="AO73" i="2"/>
  <c r="AW73" i="2"/>
  <c r="AO74" i="2"/>
  <c r="AS74" i="2"/>
  <c r="AO75" i="2"/>
  <c r="AS75" i="2"/>
  <c r="AT76" i="2"/>
  <c r="AW76" i="2"/>
  <c r="AG77" i="2"/>
  <c r="BB77" i="2"/>
  <c r="AG78" i="2"/>
  <c r="AK78" i="2"/>
  <c r="AL79" i="2"/>
  <c r="AQ79" i="2"/>
  <c r="AP80" i="2"/>
  <c r="AU80" i="2"/>
  <c r="AV81" i="2"/>
  <c r="AW82" i="2"/>
  <c r="AV83" i="2"/>
  <c r="BB83" i="2"/>
  <c r="AZ84" i="2"/>
  <c r="AZ85" i="2"/>
  <c r="AZ86" i="2"/>
  <c r="AG87" i="2"/>
  <c r="AH88" i="2"/>
  <c r="AV88" i="2"/>
  <c r="AK89" i="2"/>
  <c r="AX89" i="2"/>
  <c r="AW90" i="2"/>
  <c r="AZ90" i="2"/>
  <c r="BA91" i="2"/>
  <c r="AV92" i="2"/>
  <c r="BA92" i="2"/>
  <c r="AW93" i="2"/>
  <c r="AZ93" i="2"/>
  <c r="BA94" i="2"/>
  <c r="BB95" i="2"/>
  <c r="J29" i="4"/>
  <c r="G29" i="4"/>
  <c r="D29" i="4"/>
  <c r="K7" i="4"/>
  <c r="K8" i="4" s="1"/>
  <c r="L8" i="4" s="1"/>
  <c r="H7" i="4"/>
  <c r="H8" i="4" s="1"/>
  <c r="I8" i="4" s="1"/>
  <c r="E7" i="4"/>
  <c r="E8" i="4" s="1"/>
  <c r="I7" i="4" l="1"/>
  <c r="F8" i="4"/>
  <c r="E9" i="4"/>
  <c r="F7" i="4"/>
  <c r="L7"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AF2" i="2" a="1"/>
  <c r="AF1" i="2" a="1"/>
  <c r="D1" i="2" a="1"/>
  <c r="F9" i="4" l="1"/>
  <c r="E10" i="4"/>
  <c r="D1" i="2"/>
  <c r="AF2" i="2"/>
  <c r="AF1" i="2"/>
  <c r="E11" i="4" l="1"/>
  <c r="F10" i="4"/>
  <c r="B24" i="3"/>
  <c r="E12" i="4" l="1"/>
  <c r="F11" i="4"/>
  <c r="F12" i="4" l="1"/>
  <c r="E13" i="4"/>
  <c r="F13" i="4" l="1"/>
  <c r="E14" i="4"/>
  <c r="E15" i="4" l="1"/>
  <c r="F14" i="4"/>
  <c r="E16" i="4" l="1"/>
  <c r="F15" i="4"/>
  <c r="F16" i="4" l="1"/>
  <c r="E17" i="4"/>
  <c r="F17" i="4" l="1"/>
  <c r="E18" i="4"/>
  <c r="E19" i="4" l="1"/>
  <c r="F18" i="4"/>
  <c r="E20" i="4" l="1"/>
  <c r="F19" i="4"/>
  <c r="F20" i="4" l="1"/>
  <c r="E21" i="4"/>
  <c r="F21" i="4" l="1"/>
  <c r="E22" i="4"/>
  <c r="E23" i="4" l="1"/>
  <c r="F22" i="4"/>
  <c r="E24" i="4" l="1"/>
  <c r="F23" i="4"/>
  <c r="F24" i="4" l="1"/>
  <c r="E25" i="4"/>
  <c r="F25" i="4" l="1"/>
  <c r="E26" i="4"/>
  <c r="E27" i="4" l="1"/>
  <c r="F26" i="4"/>
  <c r="E28" i="4" l="1"/>
  <c r="F28" i="4" s="1"/>
  <c r="F27"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<sst xmlns="http://schemas.openxmlformats.org/spreadsheetml/2006/main" count="4457" uniqueCount="1753">
  <si>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</si>
  <si>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</si>
  <si>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</si>
  <si>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</si>
  <si>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</si>
  <si>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</si>
  <si>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</si>
  <si>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</si>
  <si>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</si>
  <si>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AUTHOR_NAME</t>
    <phoneticPr fontId="4" type="noConversion"/>
  </si>
  <si>
    <t>AUTHOR_EMAIL</t>
    <phoneticPr fontId="4" type="noConversion"/>
  </si>
  <si>
    <t>admin@xlworks.net</t>
    <phoneticPr fontId="4" type="noConversion"/>
  </si>
  <si>
    <t>PROGRAM_NAME</t>
    <phoneticPr fontId="4" type="noConversion"/>
  </si>
  <si>
    <t>XLGantt</t>
  </si>
  <si>
    <t>PROGRAM_SITE</t>
    <phoneticPr fontId="4" type="noConversion"/>
  </si>
  <si>
    <t>https://xlworks.net/en/xlgantt-project-scheduler/</t>
    <phoneticPr fontId="4" type="noConversion"/>
  </si>
  <si>
    <t>PROGRAM_SITE_DISP</t>
    <phoneticPr fontId="4" type="noConversion"/>
  </si>
  <si>
    <t>VERSION</t>
    <phoneticPr fontId="4" type="noConversion"/>
  </si>
  <si>
    <t>4.7.0</t>
    <phoneticPr fontId="2" type="noConversion"/>
  </si>
  <si>
    <t>RELEASE_DATE</t>
    <phoneticPr fontId="4" type="noConversion"/>
  </si>
  <si>
    <t>LICENSE</t>
    <phoneticPr fontId="4" type="noConversion"/>
  </si>
  <si>
    <t>Freeware</t>
    <phoneticPr fontId="4" type="noConversion"/>
  </si>
  <si>
    <t>OPTIONS_GENERAL</t>
    <phoneticPr fontId="2" type="noConversion"/>
  </si>
  <si>
    <t>Name:projectName</t>
  </si>
  <si>
    <t>GS리테일 데이터 거버넌스 구축1단계</t>
    <phoneticPr fontId="2" type="noConversion"/>
  </si>
  <si>
    <t>Name:isConfirmedProjectBasicInfo</t>
  </si>
  <si>
    <t>Name:projectStartDate</t>
  </si>
  <si>
    <t>Name:projectEndDate</t>
  </si>
  <si>
    <t>Name:scheduleSheetPosition</t>
  </si>
  <si>
    <t>Name:setTaskDateToProjectDate</t>
  </si>
  <si>
    <t>Name:optScheduleChangeMgt</t>
  </si>
  <si>
    <t>Name:optPlanRateCriteriaDate</t>
  </si>
  <si>
    <t>TODAY</t>
    <phoneticPr fontId="2" type="noConversion"/>
  </si>
  <si>
    <t>Name:optFirstDayOfWeek</t>
  </si>
  <si>
    <t>Name:chkWBSUpdateExecuteYN</t>
  </si>
  <si>
    <t>Name:chkCheckForUpdatesOnStartup</t>
  </si>
  <si>
    <t>Name:optNonWorkingDays</t>
  </si>
  <si>
    <t>Name:chkImportDataOnStartup</t>
  </si>
  <si>
    <t>Name:optRecalcWBSArea</t>
  </si>
  <si>
    <t>Name:optWeekNum</t>
  </si>
  <si>
    <t>Name:optWorkloadCalcByResourceAssignRate</t>
  </si>
  <si>
    <t>OPTIONS_WBS_GANTT</t>
    <phoneticPr fontId="2" type="noConversion"/>
  </si>
  <si>
    <t>Name:completeTaskGrayDisplay</t>
  </si>
  <si>
    <t>Name:taskDispInGroup</t>
  </si>
  <si>
    <t>Name:taskDispInSub</t>
  </si>
  <si>
    <t>Name:dateDisp</t>
  </si>
  <si>
    <t>Name:ganttColWidth</t>
  </si>
  <si>
    <t>Name:taskNameDisplayPosition</t>
  </si>
  <si>
    <t>Name:actualRateDisp</t>
  </si>
  <si>
    <t>Name:groupTaskInteriorGrayDisplay</t>
  </si>
  <si>
    <t>Name:optGanttChartColumnDisplay</t>
  </si>
  <si>
    <t>Name:applyUserInputFirst</t>
  </si>
  <si>
    <t>Name:txtGanttChartZoomRatio</t>
  </si>
  <si>
    <t>Name:plannedRateDisp</t>
  </si>
  <si>
    <t>Name:resourceDisp</t>
  </si>
  <si>
    <t>Name:taskDisp</t>
  </si>
  <si>
    <t>Name:groupRows</t>
  </si>
  <si>
    <t>Name:dateDispOnTimescale</t>
  </si>
  <si>
    <t>Name:txtNumberOfTaskColumn</t>
  </si>
  <si>
    <t>Name:chkYearDispOverTimescale</t>
  </si>
  <si>
    <t>Name:chkProjectWeekNumDispOverTimescale</t>
  </si>
  <si>
    <t>Name:cbxColorTheme</t>
  </si>
  <si>
    <t>Name:themeColorList</t>
  </si>
  <si>
    <t>10066176;10066176;26367;8421504;26367;8421504;16764108;16737792;65280;16737792;13311;65280;14540253;255</t>
    <phoneticPr fontId="2" type="noConversion"/>
  </si>
  <si>
    <t>Name:optAlignWBSColumn</t>
  </si>
  <si>
    <t>OPTIONS_DELIVERABLES_MGT</t>
    <phoneticPr fontId="2" type="noConversion"/>
  </si>
  <si>
    <t>Name:chkDeliverablesMgt</t>
    <phoneticPr fontId="4" type="noConversion"/>
  </si>
  <si>
    <t>Name:savePathType</t>
    <phoneticPr fontId="4" type="noConversion"/>
  </si>
  <si>
    <t>DEFINED</t>
    <phoneticPr fontId="4" type="noConversion"/>
  </si>
  <si>
    <t>Name:txtDefinedPath</t>
    <phoneticPr fontId="4" type="noConversion"/>
  </si>
  <si>
    <t>C:\Temp</t>
    <phoneticPr fontId="4" type="noConversion"/>
  </si>
  <si>
    <t>Name:txtAutoDefinedBasePath</t>
    <phoneticPr fontId="4" type="noConversion"/>
  </si>
  <si>
    <t>OPTIONS_DELIVERABLES_PGM_PATH</t>
    <phoneticPr fontId="2" type="noConversion"/>
  </si>
  <si>
    <t>Name:txtPgmName1</t>
    <phoneticPr fontId="4" type="noConversion"/>
  </si>
  <si>
    <t>파워포인트</t>
    <phoneticPr fontId="4" type="noConversion"/>
  </si>
  <si>
    <t>Name:txtFileExt1</t>
  </si>
  <si>
    <t>ppt*</t>
    <phoneticPr fontId="4" type="noConversion"/>
  </si>
  <si>
    <t>Name:txtPgmPath1</t>
    <phoneticPr fontId="4" type="noConversion"/>
  </si>
  <si>
    <t>자동지정</t>
    <phoneticPr fontId="4" type="noConversion"/>
  </si>
  <si>
    <t>Name:chkInclude2SelectList1</t>
    <phoneticPr fontId="4" type="noConversion"/>
  </si>
  <si>
    <t>Name:txtPgmName2</t>
    <phoneticPr fontId="4" type="noConversion"/>
  </si>
  <si>
    <t>워드</t>
    <phoneticPr fontId="4" type="noConversion"/>
  </si>
  <si>
    <t>Name:txtFileExt2</t>
    <phoneticPr fontId="4" type="noConversion"/>
  </si>
  <si>
    <t>doc*</t>
    <phoneticPr fontId="4" type="noConversion"/>
  </si>
  <si>
    <t>Name:txtPgmPath2</t>
    <phoneticPr fontId="4" type="noConversion"/>
  </si>
  <si>
    <t>Name:chkInclude2SelectList2</t>
    <phoneticPr fontId="4" type="noConversion"/>
  </si>
  <si>
    <t>Name:txtPgmName3</t>
    <phoneticPr fontId="4" type="noConversion"/>
  </si>
  <si>
    <t>엑셀</t>
    <phoneticPr fontId="4" type="noConversion"/>
  </si>
  <si>
    <t>Name:txtFileExt3</t>
    <phoneticPr fontId="4" type="noConversion"/>
  </si>
  <si>
    <t>xls*</t>
    <phoneticPr fontId="4" type="noConversion"/>
  </si>
  <si>
    <t>Name:txtPgmPath3</t>
    <phoneticPr fontId="4" type="noConversion"/>
  </si>
  <si>
    <t>Name:chkInclude2SelectList3</t>
    <phoneticPr fontId="4" type="noConversion"/>
  </si>
  <si>
    <t>Name:txtPgmName4</t>
    <phoneticPr fontId="4" type="noConversion"/>
  </si>
  <si>
    <t>AutoCAD</t>
    <phoneticPr fontId="4" type="noConversion"/>
  </si>
  <si>
    <t>Name:txtFileExt4</t>
    <phoneticPr fontId="4" type="noConversion"/>
  </si>
  <si>
    <t>dwg</t>
    <phoneticPr fontId="4" type="noConversion"/>
  </si>
  <si>
    <t>Name:txtPgmPath4</t>
    <phoneticPr fontId="4" type="noConversion"/>
  </si>
  <si>
    <t>C:\Program Files\Autodesk\AutoCAD 2019\acad.exe</t>
    <phoneticPr fontId="4" type="noConversion"/>
  </si>
  <si>
    <t>Name:chkInclude2SelectList4</t>
    <phoneticPr fontId="4" type="noConversion"/>
  </si>
  <si>
    <t>Name:txtPgmName5</t>
    <phoneticPr fontId="4" type="noConversion"/>
  </si>
  <si>
    <t>Notepad++</t>
    <phoneticPr fontId="4" type="noConversion"/>
  </si>
  <si>
    <t>Name:txtFileExt5</t>
    <phoneticPr fontId="4" type="noConversion"/>
  </si>
  <si>
    <t>html</t>
    <phoneticPr fontId="4" type="noConversion"/>
  </si>
  <si>
    <t>Name:txtPgmPath5</t>
    <phoneticPr fontId="4" type="noConversion"/>
  </si>
  <si>
    <t>C:\Program Files\Notepad++\notepad++.exe</t>
    <phoneticPr fontId="4" type="noConversion"/>
  </si>
  <si>
    <t>Name:chkInclude2SelectList5</t>
    <phoneticPr fontId="4" type="noConversion"/>
  </si>
  <si>
    <t>Name:txtPgmName6</t>
  </si>
  <si>
    <t>메모장</t>
    <phoneticPr fontId="4" type="noConversion"/>
  </si>
  <si>
    <t>Name:txtFileExt6</t>
  </si>
  <si>
    <t>txt</t>
    <phoneticPr fontId="4" type="noConversion"/>
  </si>
  <si>
    <t>Name:txtPgmPath6</t>
  </si>
  <si>
    <t>C:\WINDOWS\system32\notepad.exe</t>
    <phoneticPr fontId="4" type="noConversion"/>
  </si>
  <si>
    <t>Name:chkInclude2SelectList6</t>
  </si>
  <si>
    <t>Name:txtPgmName7</t>
  </si>
  <si>
    <t>Name:txtFileExt7</t>
  </si>
  <si>
    <t>Name:txtPgmPath7</t>
  </si>
  <si>
    <t>Name:chkInclude2SelectList7</t>
  </si>
  <si>
    <t>Name:txtPgmName8</t>
  </si>
  <si>
    <t>Name:txtFileExt8</t>
  </si>
  <si>
    <t>Name:txtPgmPath8</t>
  </si>
  <si>
    <t>Name:chkInclude2SelectList8</t>
  </si>
  <si>
    <t>OPTIONS_LANGUAGE</t>
    <phoneticPr fontId="2" type="noConversion"/>
  </si>
  <si>
    <t>Name:languageSelectionType</t>
  </si>
  <si>
    <t>Name:languageSelectedByManual</t>
  </si>
  <si>
    <t>Name:selectedLanguageList</t>
  </si>
  <si>
    <t>1:English,82:Korean,999:Custom</t>
    <phoneticPr fontId="2" type="noConversion"/>
  </si>
  <si>
    <t>Name:lastTranslatedLanguage</t>
  </si>
  <si>
    <t>엑셀간트(XLGantt) - 엑셀 일정관리</t>
    <phoneticPr fontId="18" type="noConversion"/>
  </si>
  <si>
    <t xml:space="preserve">XLGantt 4.7.0 ©XLWorks </t>
    <phoneticPr fontId="4"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</si>
  <si>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</si>
  <si>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</si>
  <si>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</si>
  <si>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Schedule</t>
    <phoneticPr fontId="2" type="noConversion"/>
  </si>
  <si>
    <t>작업과 일정을 입력하면 진척율이 계산되며 작업의 일정을 간트차트로 표시해 준다.</t>
    <phoneticPr fontId="2" type="noConversion"/>
  </si>
  <si>
    <t>Progress</t>
    <phoneticPr fontId="2" type="noConversion"/>
  </si>
  <si>
    <t>작업량, 진척율 등을 볼 수 있다.</t>
    <phoneticPr fontId="2" type="noConversion"/>
  </si>
  <si>
    <t>AnalysisReport</t>
    <phoneticPr fontId="2" type="noConversion"/>
  </si>
  <si>
    <t>담당별 진행율, Workload등 분석용 Report를 만들어서 보여준다.</t>
    <phoneticPr fontId="2" type="noConversion"/>
  </si>
  <si>
    <t>Calendar</t>
    <phoneticPr fontId="2" type="noConversion"/>
  </si>
  <si>
    <t>프로젝트의 휴무일을 설정한다.</t>
    <phoneticPr fontId="2" type="noConversion"/>
  </si>
  <si>
    <t>Workload</t>
    <phoneticPr fontId="2" type="noConversion"/>
  </si>
  <si>
    <t>Workload data를 주별/월별로 만들어 준다. 피벗 등의 기능으로 사용자가 원하는대로 분석을 할 수 있다.</t>
    <phoneticPr fontId="2" type="noConversion"/>
  </si>
  <si>
    <t>ServerData</t>
    <phoneticPr fontId="2" type="noConversion"/>
  </si>
  <si>
    <t>Server가 별도로 존재하는 IT시스템의 일정관리 Data를 PC에서 보고자할 때 사용한다.</t>
    <phoneticPr fontId="2" type="noConversion"/>
  </si>
  <si>
    <t>TranslatedLanguages</t>
    <phoneticPr fontId="2" type="noConversion"/>
  </si>
  <si>
    <t>(숨겨진 시트) 언어별 번역이 들어 있다.</t>
    <phoneticPr fontId="2" type="noConversion"/>
  </si>
  <si>
    <t>사용법</t>
    <phoneticPr fontId="18" type="noConversion"/>
  </si>
  <si>
    <t>간단 사용법</t>
    <phoneticPr fontId="2" type="noConversion"/>
  </si>
  <si>
    <t>기능을 간단히 빨리 익히고 싶으면 “간단 사용법”을 참고한다</t>
    <phoneticPr fontId="2" type="noConversion"/>
  </si>
  <si>
    <t>도움말</t>
    <phoneticPr fontId="2" type="noConversion"/>
  </si>
  <si>
    <t>작업입력, 스케줄 업데이트</t>
    <phoneticPr fontId="2" type="noConversion"/>
  </si>
  <si>
    <t>작업명, 시작일, 완료일, 진척율을 입력하면 휴무일, 가중치를 고려하여 자동으로 작업기간, 계획진척율, 실적진척율 등이 계산된다.</t>
    <phoneticPr fontId="2" type="noConversion"/>
  </si>
  <si>
    <t>간트차트 표시방법 설정</t>
    <phoneticPr fontId="2" type="noConversion"/>
  </si>
  <si>
    <t>Bar chart형태로 간트차트를 보여주며 여러 가지 표시방법을 옵션에서 설정할 수 있다.</t>
    <phoneticPr fontId="2" type="noConversion"/>
  </si>
  <si>
    <t>프로젝트 전체 진행상황 파악하기</t>
    <phoneticPr fontId="2" type="noConversion"/>
  </si>
  <si>
    <t>진척율을 이용하여 프로젝트 전체 진행상황을 파악할 수 있다.</t>
    <phoneticPr fontId="2" type="noConversion"/>
  </si>
  <si>
    <t>분석 리포트</t>
    <phoneticPr fontId="2" type="noConversion"/>
  </si>
  <si>
    <t>프로젝트의 현황을 파악할 수 있는 진행율, Workload 등의 분석 리포트와 분석용 Workload data를 제공한다.</t>
    <phoneticPr fontId="2" type="noConversion"/>
  </si>
  <si>
    <t>일정계획 변경관리</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</si>
  <si>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</si>
  <si>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산출물</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</si>
  <si>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</si>
  <si>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Microsoft Outlook작업, 일정등록</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</si>
  <si>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</si>
  <si>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다국어 지원</t>
    <phoneticPr fontId="2" type="noConversion"/>
  </si>
  <si>
    <t>엑셀간트는 다국어를 지원하는데 프로그램을 수정하지 않고 여러 다국어를 추가할 수 있다. 현재는 한국어, 영어 2개 국어가 추가되어 있다.</t>
    <phoneticPr fontId="2" type="noConversion"/>
  </si>
  <si>
    <t>다른 파일에서 일정 가져오기</t>
    <phoneticPr fontId="2" type="noConversion"/>
  </si>
  <si>
    <t>엑셀간트에서는 엑셀간트(XLGantt) 또는 일반 엑셀파일로 만들어진 일정을 가져오는 기능을 제공한다.</t>
    <phoneticPr fontId="2" type="noConversion"/>
  </si>
  <si>
    <t>한주의 시작요일 지정, 휴무일 설정, 주차표시 기능을 제공한다.
리본메뉴 &gt; XLGantt – Project Scheduler &gt; 옵션 &gt; “Calendar” 탭에서 설정할 수 있다.</t>
    <phoneticPr fontId="2" type="noConversion"/>
  </si>
  <si>
    <t>Excel기능과 통합</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</si>
  <si>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</si>
  <si>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Server Data 가져오기</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</si>
  <si>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</si>
  <si>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XLGantt Version 4.7.0 사용조건</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</si>
  <si>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</si>
  <si>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r>
      <t xml:space="preserve">XLGantt 4.7.0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</si>
  <si>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W1</t>
  </si>
  <si>
    <t>W5</t>
  </si>
  <si>
    <t>W9</t>
  </si>
  <si>
    <t>W13</t>
  </si>
  <si>
    <t>W17</t>
  </si>
  <si>
    <t>W21</t>
  </si>
  <si>
    <t>reserved</t>
    <phoneticPr fontId="4" type="noConversion"/>
  </si>
  <si>
    <t>task_group</t>
    <phoneticPr fontId="4" type="noConversion"/>
  </si>
  <si>
    <t>wbs_level</t>
    <phoneticPr fontId="4" type="noConversion"/>
  </si>
  <si>
    <t>WBS</t>
    <phoneticPr fontId="4" type="noConversion"/>
  </si>
  <si>
    <t>작업*</t>
    <phoneticPr fontId="4" type="noConversion"/>
  </si>
  <si>
    <t>비고</t>
    <phoneticPr fontId="4" type="noConversion"/>
  </si>
  <si>
    <t>시작일*</t>
    <phoneticPr fontId="4" type="noConversion"/>
  </si>
  <si>
    <t>완료일*</t>
    <phoneticPr fontId="4" type="noConversion"/>
  </si>
  <si>
    <t>Calendar</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</si>
  <si>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</si>
  <si>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</si>
  <si>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</si>
  <si>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</si>
  <si>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</si>
  <si>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</si>
  <si>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</si>
  <si>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</si>
  <si>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</si>
  <si>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</si>
  <si>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산출물</t>
    <phoneticPr fontId="4" type="noConversion"/>
  </si>
  <si>
    <t>계획</t>
    <phoneticPr fontId="4" type="noConversion"/>
  </si>
  <si>
    <t>실적*</t>
    <phoneticPr fontId="4" type="noConversion"/>
  </si>
  <si>
    <t>09/25
W40</t>
  </si>
  <si>
    <t>10/23
W44</t>
  </si>
  <si>
    <t>11/20
W48</t>
  </si>
  <si>
    <t>12/18
W52</t>
  </si>
  <si>
    <t>2023
W3</t>
  </si>
  <si>
    <t>02/12
W7</t>
  </si>
  <si>
    <t>G</t>
  </si>
  <si>
    <t>1</t>
  </si>
  <si>
    <t>프로젝트 관리</t>
  </si>
  <si>
    <t>오주석</t>
  </si>
  <si>
    <t>1.1</t>
  </si>
  <si>
    <t>프로젝트 시작</t>
  </si>
  <si>
    <t>1.1.1</t>
  </si>
  <si>
    <t>착수보고작성</t>
  </si>
  <si>
    <t>착수보고서</t>
  </si>
  <si>
    <t>1.1.2</t>
  </si>
  <si>
    <t>착수보고</t>
  </si>
  <si>
    <t>1.2</t>
  </si>
  <si>
    <t>프로젝트 진행관리</t>
  </si>
  <si>
    <t>1.2.1</t>
  </si>
  <si>
    <t>주간보고</t>
  </si>
  <si>
    <t>1.2.2</t>
  </si>
  <si>
    <t>월간보고</t>
  </si>
  <si>
    <t>1.3</t>
  </si>
  <si>
    <t>프로젝트 종료</t>
  </si>
  <si>
    <t>1.3.1</t>
  </si>
  <si>
    <t>종료보고작성</t>
  </si>
  <si>
    <t>종료보고서</t>
  </si>
  <si>
    <t>1.3.2</t>
  </si>
  <si>
    <t>종료보고</t>
  </si>
  <si>
    <t>2</t>
  </si>
  <si>
    <t>현황분석</t>
  </si>
  <si>
    <t>오재철, 한정은, 최유민, 이주언</t>
  </si>
  <si>
    <t>2.1</t>
  </si>
  <si>
    <t>환경조사 및 자료수집</t>
  </si>
  <si>
    <t>오재철, 오주석, 한정은, 최유민, 이주언</t>
  </si>
  <si>
    <t>2.1.1</t>
  </si>
  <si>
    <t>수집자료 목록 작성 및 요청</t>
  </si>
  <si>
    <t>한정은, 최유민</t>
  </si>
  <si>
    <t>(working)수집요청자료 목록</t>
  </si>
  <si>
    <t>2.1.2</t>
  </si>
  <si>
    <t>수집자료 목록 접수 및 수집</t>
  </si>
  <si>
    <t>수집 및 취합, 취합현황 업데이트</t>
  </si>
  <si>
    <t>데이터거버넌스팀</t>
  </si>
  <si>
    <t>(working)수집자료취합현황</t>
  </si>
  <si>
    <t>2.1.3</t>
  </si>
  <si>
    <t>수집자료 검토</t>
  </si>
  <si>
    <t>오재철, 한정은, 최유민</t>
  </si>
  <si>
    <t>2.2</t>
  </si>
  <si>
    <t>인터뷰</t>
  </si>
  <si>
    <t>데이터거버넌스팀, 한정은, 최유민</t>
  </si>
  <si>
    <t>2.2.1</t>
  </si>
  <si>
    <t>인터뷰 계획서/질의서 작성</t>
  </si>
  <si>
    <t>인터뷰 계획서/질의서</t>
  </si>
  <si>
    <t>2.2.2</t>
  </si>
  <si>
    <t>인터뷰 계획서/질의서 검토/일정조율</t>
  </si>
  <si>
    <t>검토 및 검토의견 전달, 일정조율</t>
  </si>
  <si>
    <t>2.2.3</t>
  </si>
  <si>
    <t>인터뷰 수행 및 결과서 작성</t>
  </si>
  <si>
    <t>인터뷰 결과서</t>
  </si>
  <si>
    <t>2.3</t>
  </si>
  <si>
    <t>현황분석서 작성</t>
  </si>
  <si>
    <t>데이터거버넌스팀, 오재철, 한정은, 최유민, 이주언</t>
  </si>
  <si>
    <t>2.3.1</t>
  </si>
  <si>
    <t>현행 데이터 분석 결과서</t>
  </si>
  <si>
    <t>2.3.2</t>
  </si>
  <si>
    <t>현황분석서 검토 및 보완</t>
  </si>
  <si>
    <t>검토 및 검토의견 전달</t>
  </si>
  <si>
    <t>3</t>
  </si>
  <si>
    <t>컨설팅</t>
  </si>
  <si>
    <t>한정은, 최유민, 박지호</t>
  </si>
  <si>
    <t>3.1</t>
  </si>
  <si>
    <t>IT Meta 점검 및 적재</t>
  </si>
  <si>
    <t>데이터거버넌스팀, 박지호</t>
  </si>
  <si>
    <t>3.1.1</t>
  </si>
  <si>
    <t>IT Meta 수집</t>
  </si>
  <si>
    <t>표준사전(단어, 용어, 도메인, 코드)) 최종본</t>
  </si>
  <si>
    <t>3.1.2</t>
  </si>
  <si>
    <t>IT Meta 점검</t>
  </si>
  <si>
    <t>박지호</t>
  </si>
  <si>
    <t>(working)IT Meta 점검결과서</t>
  </si>
  <si>
    <t>3.1.3</t>
  </si>
  <si>
    <t>IT Meta 점검결과 검토 및 반영</t>
  </si>
  <si>
    <t>점검결과 검토 후 IT Meta에 반영</t>
  </si>
  <si>
    <t>3.1.4</t>
  </si>
  <si>
    <t>IT Meta 적재</t>
  </si>
  <si>
    <t>(IT Meta 솔루션 적재)</t>
  </si>
  <si>
    <t>3.2</t>
  </si>
  <si>
    <t>Biz. Meta 구축</t>
  </si>
  <si>
    <t>3.2.1</t>
  </si>
  <si>
    <t>3.2.1.1</t>
  </si>
  <si>
    <t>원천용어 추출 및 분류</t>
  </si>
  <si>
    <t>3.2.1.2</t>
  </si>
  <si>
    <t>Biz. Meta 후보도출 결과 작성</t>
  </si>
  <si>
    <t>용어 Definition</t>
  </si>
  <si>
    <t>(working)Biz. Meta 후보목록</t>
  </si>
  <si>
    <t>3.2.2</t>
  </si>
  <si>
    <t>3.2.2.1</t>
  </si>
  <si>
    <t>Biz. Meta 후보 도출결과 검토</t>
  </si>
  <si>
    <t>3.2.2.2</t>
  </si>
  <si>
    <t>Biz. Meta 용어사전 작성</t>
  </si>
  <si>
    <t>Biz. Meta 용어사전(원천 Mapping 포함)</t>
  </si>
  <si>
    <t>3.2.2.3</t>
  </si>
  <si>
    <t>Biz. Meta 용어사전 검토 및 보완</t>
  </si>
  <si>
    <t>3.2.3</t>
  </si>
  <si>
    <t>Biz. Meta 적재</t>
  </si>
  <si>
    <t>3.2.3.1</t>
  </si>
  <si>
    <t xml:space="preserve">(Biz.표준 Meta솔루션 적재)
</t>
  </si>
  <si>
    <t>3.3</t>
  </si>
  <si>
    <t>Pilot 품질진단</t>
  </si>
  <si>
    <t>3.3.1</t>
  </si>
  <si>
    <t>품질진단 계획서 작성</t>
  </si>
  <si>
    <t>진단 범위 및 대상 정의</t>
  </si>
  <si>
    <t>Pilot 품질진단 계획서</t>
  </si>
  <si>
    <t>3.3.2</t>
  </si>
  <si>
    <t>품질진단 규칙 정의</t>
  </si>
  <si>
    <t>3.3.3</t>
  </si>
  <si>
    <t>품질진단</t>
  </si>
  <si>
    <t>3.3.4</t>
  </si>
  <si>
    <t>품질진단 오류판별</t>
  </si>
  <si>
    <t>오류로 진단된 항목에 대한 오류 판별(검토)</t>
  </si>
  <si>
    <t>3.3.5</t>
  </si>
  <si>
    <t>품질진단 규칙 재정의 및 재진단</t>
  </si>
  <si>
    <t>3.3.6</t>
  </si>
  <si>
    <t>품질진단 보고서 작성</t>
  </si>
  <si>
    <t>Pilot 품질진단 보고서</t>
  </si>
  <si>
    <t>3.4</t>
  </si>
  <si>
    <t>데이터 관리체계 수립</t>
  </si>
  <si>
    <t>황정호</t>
  </si>
  <si>
    <t>3.4.1</t>
  </si>
  <si>
    <t>기본 관리체계 제시</t>
  </si>
  <si>
    <t>3.4.2</t>
  </si>
  <si>
    <t>고객사 Tailoring</t>
  </si>
  <si>
    <t>3.4.3</t>
  </si>
  <si>
    <t>데이터 관리체계 컨설팅 보고서</t>
  </si>
  <si>
    <t>3.4.4</t>
  </si>
  <si>
    <t>데이터 관리지침서 작성</t>
  </si>
  <si>
    <t>데이터 관리지침서</t>
  </si>
  <si>
    <t>3.5</t>
  </si>
  <si>
    <t>데이터 사업추진 로드맵 수립</t>
  </si>
  <si>
    <t>3.5.1</t>
  </si>
  <si>
    <t>수행 과제 정의</t>
  </si>
  <si>
    <t>3.5.2</t>
  </si>
  <si>
    <t>수행 계획 수립</t>
  </si>
  <si>
    <t>사업추진 로드맵</t>
  </si>
  <si>
    <t>4</t>
  </si>
  <si>
    <t>솔루션 구축</t>
  </si>
  <si>
    <t>데이터 거버넌스 플랫폼</t>
  </si>
  <si>
    <t>솔루션 테크팀, 박지호,유진승, 강문영, 
UX(TBD),솔루션 R&amp;D팀</t>
  </si>
  <si>
    <t>4.1</t>
  </si>
  <si>
    <t>솔루션 설치/안정화</t>
  </si>
  <si>
    <t>솔루션 테크팀, 박지호</t>
  </si>
  <si>
    <t>4.1.1</t>
  </si>
  <si>
    <t>솔루션 설치</t>
  </si>
  <si>
    <t>솔루션 테크팀</t>
  </si>
  <si>
    <t>설치 계획서 / 설치 결과서</t>
  </si>
  <si>
    <t>4.1.2</t>
  </si>
  <si>
    <t>운영/안정화</t>
  </si>
  <si>
    <t>4.2</t>
  </si>
  <si>
    <t>데이터 거버넌스 플랫폼 설계</t>
  </si>
  <si>
    <t>유진승, 강문영, UX(TBD)</t>
  </si>
  <si>
    <t>4.2.1</t>
  </si>
  <si>
    <t>Design Thinking workshop</t>
  </si>
  <si>
    <t>4.2.1.1</t>
  </si>
  <si>
    <t>사용자 이해</t>
  </si>
  <si>
    <t>4.2.1.2</t>
  </si>
  <si>
    <t>기회영역 정의</t>
  </si>
  <si>
    <t>포털 기능 요구사항 정의서</t>
  </si>
  <si>
    <t>4.2.1.3</t>
  </si>
  <si>
    <t>To-Be 경험 설계</t>
  </si>
  <si>
    <t>포털 프로세스 정의서(메가 프로세스)</t>
  </si>
  <si>
    <t>4.2.2</t>
  </si>
  <si>
    <t>설계 구체화</t>
  </si>
  <si>
    <t>4.2.2.1</t>
  </si>
  <si>
    <t>포털 프로세스 설계</t>
  </si>
  <si>
    <t>포털 프로세스 설계서(Level 2)</t>
  </si>
  <si>
    <t>4.2.2.2</t>
  </si>
  <si>
    <t>포털 화면 설계</t>
  </si>
  <si>
    <t>포털 화면 설계서(개념 설계)</t>
  </si>
  <si>
    <t>4.2.2.3</t>
  </si>
  <si>
    <t>포털 구축 로드맵 수립</t>
  </si>
  <si>
    <t>포털 구축 로드맵 및 적용 방안, 활용성 강화 방안</t>
  </si>
  <si>
    <t>4.3</t>
  </si>
  <si>
    <t>데이터 포탈 구축(1단계)</t>
  </si>
  <si>
    <t>솔루션 R&amp;D팀</t>
  </si>
  <si>
    <t>4.3.1</t>
  </si>
  <si>
    <t>(Biz. Meta)기본 설계/개발</t>
  </si>
  <si>
    <t>4.3.2</t>
  </si>
  <si>
    <t>(Biz. Meta)상세 설계/개발</t>
  </si>
  <si>
    <t>4.3.3</t>
  </si>
  <si>
    <t>(Biz. Meta)테스트/안정화</t>
  </si>
  <si>
    <t>4.3.4</t>
  </si>
  <si>
    <t>(SMETA/SDQ/SPORTAL)운영 안정화</t>
  </si>
  <si>
    <t xml:space="preserve">사용자/운영자 매뉴얼, 포탈 프로세스(Lv2) 화면(개념)설계서
</t>
  </si>
  <si>
    <t>4.3.5</t>
  </si>
  <si>
    <t>데이터 포털 사용자/운영자 교육</t>
  </si>
  <si>
    <t>프로젝트 진척율 - 일정변경 관리하지 않을때</t>
    <phoneticPr fontId="4"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</si>
  <si>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</si>
  <si>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</si>
  <si>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</si>
  <si>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Man/Day</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</si>
  <si>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</si>
  <si>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</si>
  <si>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</si>
  <si>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실적기성</t>
    <phoneticPr fontId="4" type="noConversion"/>
  </si>
  <si>
    <t>실적기성(총기간 x 총실적진행율)</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</si>
  <si>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</si>
  <si>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</si>
  <si>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</si>
  <si>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</si>
  <si>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</si>
  <si>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</si>
  <si>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</si>
  <si>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</si>
  <si>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 담당별로 투입된 Task와 총작업량, 계획작업량, 진척작업을 Man-day로 보여주고, 계획/실적 진행율을 보여줍니다.</t>
  </si>
  <si>
    <t>* "담당별진행율" 메뉴를 클릭해야 내용이 갱신됩니다.</t>
  </si>
  <si>
    <t>담당</t>
  </si>
  <si>
    <t>WBS</t>
  </si>
  <si>
    <t>작업</t>
  </si>
  <si>
    <t>시작일</t>
  </si>
  <si>
    <t>완료일</t>
  </si>
  <si>
    <t>가중치</t>
  </si>
  <si>
    <t>계획(B/A)</t>
  </si>
  <si>
    <t>실적(C/A)</t>
  </si>
  <si>
    <t>차이(실적-계획)</t>
  </si>
  <si>
    <t>강문영</t>
  </si>
  <si>
    <t>오재철</t>
  </si>
  <si>
    <t>유진승</t>
  </si>
  <si>
    <t>이주언</t>
  </si>
  <si>
    <t>최유민</t>
  </si>
  <si>
    <t>한정은</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</si>
  <si>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</si>
  <si>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</si>
  <si>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</si>
  <si>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</si>
  <si>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</si>
  <si>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</si>
  <si>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</si>
  <si>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개천절</t>
    <phoneticPr fontId="2" type="noConversion"/>
  </si>
  <si>
    <t>한글날 대체공휴일</t>
    <phoneticPr fontId="2" type="noConversion"/>
  </si>
  <si>
    <t>구정연휴</t>
    <phoneticPr fontId="2" type="noConversion"/>
  </si>
  <si>
    <t>더 이상 입력불가</t>
    <phoneticPr fontId="4" type="noConversion"/>
  </si>
  <si>
    <t>Reserved</t>
    <phoneticPr fontId="4" type="noConversion"/>
  </si>
  <si>
    <t>Text Index</t>
    <phoneticPr fontId="4" type="noConversion"/>
  </si>
  <si>
    <t>Description</t>
    <phoneticPr fontId="4" type="noConversion"/>
  </si>
  <si>
    <t>English</t>
  </si>
  <si>
    <t>Korean</t>
  </si>
  <si>
    <t>Custom</t>
  </si>
  <si>
    <t>F</t>
    <phoneticPr fontId="2" type="noConversion"/>
  </si>
  <si>
    <t>reserved index</t>
    <phoneticPr fontId="2"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</si>
  <si>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</si>
  <si>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</si>
  <si>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</si>
  <si>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</si>
  <si>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</si>
  <si>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</si>
  <si>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</si>
  <si>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</si>
  <si>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You can import  files created in XLGantt._x000D_
* You can import files if the version is 0.9.7 or higher than 0.9.7_x000D_
* You can import up to 10,000 records._x000D_
* You can import multiple files simultaneously.</t>
    <phoneticPr fontId="2" type="noConversion"/>
  </si>
  <si>
    <t xml:space="preserve">* 가져올 파일이 XLGantt로 작성된 경우만 가능_x000D_
\n* XLGantt의 버전이 0.9.7 이상인 경우만 가능\n* 자료의 갯수는 10,000개 이하까지만 처리됨_x000D_
\n* 여러개의 파일 동시처리 가능_x000D_
</t>
  </si>
  <si>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</si>
  <si>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</si>
  <si>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Saturdays, Sundays and the dates entered in the Calendar sheet_x000D_</t>
    <phoneticPr fontId="2" type="noConversion"/>
  </si>
  <si>
    <t>토요일,일요일 및 Calendar sheet에 입력된 날짜_x000D_</t>
    <phoneticPr fontId="2" type="noConversion"/>
  </si>
  <si>
    <t>reserved index, for help sheet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</si>
  <si>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</si>
  <si>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</si>
  <si>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</si>
  <si>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엑셀간트는 다국어를 지원하는데 프로그램을 수정하지 않고 여러 다국어를 추가할 수 있다. 현재는 한국어, 영어 2개 국어가 추가되어 있다.</t>
  </si>
  <si>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</si>
  <si>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</si>
  <si>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</si>
  <si>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</si>
  <si>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 xml:space="preserve">              From                      To</t>
  </si>
  <si>
    <t xml:space="preserve"> Source필드 명       Target필드 명</t>
  </si>
  <si>
    <t xml:space="preserve">           Field Name         Example</t>
  </si>
  <si>
    <t xml:space="preserve"> 필드 명                값 예시</t>
  </si>
  <si>
    <t xml:space="preserve">       Field Name           Field Value</t>
  </si>
  <si>
    <t xml:space="preserve"> 필드 명                필드 값</t>
  </si>
  <si>
    <t xml:space="preserve"> Mapped</t>
  </si>
  <si>
    <t xml:space="preserve"> Mapping된 상태</t>
  </si>
  <si>
    <t xml:space="preserve"> Setting nonworking days in the project calendar</t>
  </si>
  <si>
    <t xml:space="preserve"> 프로젝트 휴무일 Calendar 설정</t>
  </si>
  <si>
    <t>"%Work Complete" is invalid. Type a number between 0% and 100%.</t>
  </si>
  <si>
    <t>실적진척율은 0~100% 범위만 입력가능합니다.</t>
  </si>
  <si>
    <t>"Outline level"(task Level) field. It displays the level of a task.Instead of "Outline level", you can use "WBS".</t>
  </si>
  <si>
    <t>개요수준(작업Level)필드입니다. 작업의 Level을 표시합니다. 예를 들어 2 Level의 작업이면 숫자 2로 표시됩니다. 개요수준대신 WBS필드(1.3.2 등의 형식으로 표시)를 사용하기도 합니다.</t>
  </si>
  <si>
    <t>"WBS"(Work Breakdown Structure) field. It displays the level of a task. Instead of WBS, you can use "Outline level".</t>
  </si>
  <si>
    <t>WBS(Work Breakdown Structure) 필드입니다. 작업의 Level을 표시합니다. 1.3.2 등의 형식으로 표시됩니다. WBS대신 개요수준(작업Level)필드를 사용하기도 합니다. 예를 들어 2 Level의 작업이면 숫자 2로 표시됩니다.</t>
  </si>
  <si>
    <t>%Work Complete</t>
  </si>
  <si>
    <t>실적진척율</t>
  </si>
  <si>
    <t>%Work Complete(B)</t>
  </si>
  <si>
    <t>실적 진척율(B)</t>
  </si>
  <si>
    <t>%Work Complete(C/A)</t>
  </si>
  <si>
    <t>for import columun</t>
    <phoneticPr fontId="4" type="noConversion"/>
  </si>
  <si>
    <t>%Work__Complete</t>
    <phoneticPr fontId="4" type="noConversion"/>
  </si>
  <si>
    <t>실적</t>
  </si>
  <si>
    <t>%Work\nComplete</t>
  </si>
  <si>
    <t>for help sheet</t>
    <phoneticPr fontId="2" type="noConversion"/>
  </si>
  <si>
    <t>(Hidden sheet) Contains language-specific translations.</t>
  </si>
  <si>
    <t>(숨겨진 시트) 언어별 번역이 들어 있다.</t>
  </si>
  <si>
    <t>(Resources unspecified)</t>
    <phoneticPr fontId="2" type="noConversion"/>
  </si>
  <si>
    <t>(담당자미지정)</t>
    <phoneticPr fontId="2" type="noConversion"/>
  </si>
  <si>
    <t>* Automactically calulated if you click the "Update Schedule" button</t>
  </si>
  <si>
    <t>* "스케줄업데이트" 버튼 클릭 시 아래 항목이 자동계산됩니다.</t>
  </si>
  <si>
    <t>* Choose a language</t>
  </si>
  <si>
    <t>* 언어를 선택하세요</t>
  </si>
  <si>
    <t>* Common Excel file, Not XLGantt file\n   (First row is title,from second rows are contents)\n* You can import only one file at once.</t>
  </si>
  <si>
    <t>* XLGantt 파일이 아닌 Excel파일(1행은 제목, 2행부터 내용이 있는 파일)\n* 자료갯수 제한 없음\n* 한번에 한개의 파일만 처리됨</t>
  </si>
  <si>
    <t>* This sheet shows you project progresses by months.</t>
    <phoneticPr fontId="2" type="noConversion"/>
  </si>
  <si>
    <t>* 월별로 프로젝트 진적율을 보여줍니다.</t>
    <phoneticPr fontId="2" type="noConversion"/>
  </si>
  <si>
    <t>* This sheet shows you project progresses by weeks.</t>
    <phoneticPr fontId="2" type="noConversion"/>
  </si>
  <si>
    <t>* 주별로 프로젝트 진적율을 보여줍니다.</t>
    <phoneticPr fontId="2" type="noConversion"/>
  </si>
  <si>
    <t>* This sheet shows you tasks, workloads, progresses(%Work complete), etc by resources.</t>
  </si>
  <si>
    <t>* This sheet shows you workload allocations by resources.</t>
  </si>
  <si>
    <t>* 담당별 Workload를 보여줍니다.</t>
  </si>
  <si>
    <t>* This sheet shows you workload allocations by weeks or months.</t>
  </si>
  <si>
    <t>* 주별 또는 월별 Workload를 보여줍니다.</t>
  </si>
  <si>
    <t>* This sheet shows you workload and %Work complete.</t>
  </si>
  <si>
    <t>* 프로젝트 작업량과 진척율을 보여줍니다.</t>
  </si>
  <si>
    <t>* You need to click the "Progress by Months" button to update the contents.</t>
    <phoneticPr fontId="2" type="noConversion"/>
  </si>
  <si>
    <t>* "진척율(월별)" 메뉴를 클릭해야 갱신됨</t>
    <phoneticPr fontId="2" type="noConversion"/>
  </si>
  <si>
    <t>* You need to click the "Progress by Weeks" button to update the contents.</t>
    <phoneticPr fontId="2" type="noConversion"/>
  </si>
  <si>
    <t>* "진척율(주별)" 메뉴를 클릭해야 갱신됨</t>
    <phoneticPr fontId="2" type="noConversion"/>
  </si>
  <si>
    <t>* You need to click the "Progresses by Resources" button to update contents.</t>
  </si>
  <si>
    <t>* You need to click the "Workloads by Resources" button to update the contents.</t>
  </si>
  <si>
    <t>* "Workload(담당별)" 메뉴를 클릭해야 내용이 갱신됩니다.</t>
  </si>
  <si>
    <t>* You need to click the "Workloads by Weeks" or "Workloads by Months" button to update the contents.</t>
  </si>
  <si>
    <t>* "Workload(주별)" 또는 "Workload(월별)" 메뉴를 클릭해야 내용이 갱신됩니다.</t>
  </si>
  <si>
    <t>{} "Outlook Appointment(s)" have been added.</t>
  </si>
  <si>
    <t>Outlook일정이 {}건 등록되었습니다.</t>
  </si>
  <si>
    <t>{} "Outlook Task(s)" have been added.</t>
  </si>
  <si>
    <t>Outlook작업이 {}건 등록되었습니다.</t>
  </si>
  <si>
    <t>{} file does not exist.</t>
  </si>
  <si>
    <t>{} 파일이 존재하지 않습니다</t>
  </si>
  <si>
    <t>&lt;&lt; Remove</t>
    <phoneticPr fontId="2" type="noConversion"/>
  </si>
  <si>
    <t>&lt;&lt; 제거</t>
  </si>
  <si>
    <t>&lt;&lt; Unmap</t>
    <phoneticPr fontId="2" type="noConversion"/>
  </si>
  <si>
    <t>&lt;&lt; Mapping취소</t>
  </si>
  <si>
    <t>12/1/2018</t>
    <phoneticPr fontId="2" type="noConversion"/>
  </si>
  <si>
    <t>12/31/2018</t>
  </si>
  <si>
    <t>About</t>
  </si>
  <si>
    <t>Accumulated\nMan-Day</t>
  </si>
  <si>
    <t>누적\nMan-Day</t>
  </si>
  <si>
    <t>manual input</t>
    <phoneticPr fontId="2" type="noConversion"/>
  </si>
  <si>
    <t>Actual</t>
    <phoneticPr fontId="2" type="noConversion"/>
  </si>
  <si>
    <t>실적</t>
    <phoneticPr fontId="2" type="noConversion"/>
  </si>
  <si>
    <t>Actual %Complete is invalid. Enter a number only. Verify row {} of the source file.</t>
  </si>
  <si>
    <t>실적진척율에 숫자가 아닌 값이 포함되어 있습니다. Import하는 파일의 {}행을 확인하세요.</t>
  </si>
  <si>
    <t>Actual %Work Complete from the start date to the current date</t>
  </si>
  <si>
    <t>현재날짜까지 실제로 진행된 진척율, WBS의 "실적진척율"의 전체 합계 진척율을 표시함</t>
  </si>
  <si>
    <t>Actual Accumulated\nMan-Day</t>
    <phoneticPr fontId="2" type="noConversion"/>
  </si>
  <si>
    <t>실제 누적\nMan-Day</t>
    <phoneticPr fontId="2" type="noConversion"/>
  </si>
  <si>
    <t>for importOnStartup</t>
    <phoneticPr fontId="2" type="noConversion"/>
  </si>
  <si>
    <t>Actual Finish</t>
  </si>
  <si>
    <t>실제완료일</t>
  </si>
  <si>
    <t>Actual Finish Date</t>
  </si>
  <si>
    <t>실제완료일자</t>
  </si>
  <si>
    <t>Actual finish date field of a task. It must be in date format.</t>
  </si>
  <si>
    <t>각 작업의 실제완료일(또는 실제종료일)을 표시합니다. 반드시 날짜 형식이어야 합니다.</t>
  </si>
  <si>
    <t>Actual finish date is invalid.</t>
  </si>
  <si>
    <t>실제완료일의 날짜형식이 잘못되었습니다.</t>
  </si>
  <si>
    <t>Actual finish date is invalid. Verify row {} of the source file.</t>
  </si>
  <si>
    <t>실제완료일자에 날짜가 아닌 값이 포함되어 있습니다. Import하는 파일의 {}행을 확인하세요.</t>
  </si>
  <si>
    <t>Actual Man-Day</t>
    <phoneticPr fontId="2" type="noConversion"/>
  </si>
  <si>
    <t>실제 Man-Day</t>
    <phoneticPr fontId="2" type="noConversion"/>
  </si>
  <si>
    <t>Actual Progress</t>
    <phoneticPr fontId="2" type="noConversion"/>
  </si>
  <si>
    <t>실제진척율</t>
    <phoneticPr fontId="2" type="noConversion"/>
  </si>
  <si>
    <t>Actual progress rate(%Work Complete) field.</t>
  </si>
  <si>
    <t>실제진척율 필드입니다. 현재까지 실제 진척된 작업량을 %로 표현합니다.</t>
  </si>
  <si>
    <t>Actual Start</t>
  </si>
  <si>
    <t>실제시작일</t>
  </si>
  <si>
    <t>Actual Start Date</t>
  </si>
  <si>
    <t>실제시작일자</t>
  </si>
  <si>
    <t>Actual start date field of a task. It must be in date format.</t>
  </si>
  <si>
    <t>각 작업의 실제시작일을 표시합니다. 반드시 날짜 형식이어야 합니다.</t>
  </si>
  <si>
    <t>Actual start date is invalid.</t>
  </si>
  <si>
    <t>실제시작일의 날짜형식이 잘못되었습니다.</t>
  </si>
  <si>
    <t>Actual start date is invalid. Verify row {} of the source file.</t>
  </si>
  <si>
    <t>실제시작일자에 날짜가 아닌 값이 포함되어 있습니다. Import하는 파일의 {}행을 확인하세요.</t>
  </si>
  <si>
    <t>Actual Total Duration</t>
  </si>
  <si>
    <t>실제총기간</t>
  </si>
  <si>
    <t>Actual Total Work</t>
  </si>
  <si>
    <t>실제총작업량</t>
  </si>
  <si>
    <t>Actual Total Work\nMan-day</t>
  </si>
  <si>
    <t>실제 총작업량\nMan-day</t>
  </si>
  <si>
    <t>Actual Total__Duration</t>
    <phoneticPr fontId="4" type="noConversion"/>
  </si>
  <si>
    <t>실제 총기간__(전체 기간)</t>
    <phoneticPr fontId="4" type="noConversion"/>
  </si>
  <si>
    <t>Actual Total\nDuration</t>
  </si>
  <si>
    <t>실제\n총기간</t>
  </si>
  <si>
    <t>Actual Total\nWork(Total\nManDay)</t>
  </si>
  <si>
    <t>실제 총작업량\n(총ManDay,_x000D_가중치 감안)</t>
    <phoneticPr fontId="4" type="noConversion"/>
  </si>
  <si>
    <t>Actual Workload Accumulated(Man-Day)</t>
    <phoneticPr fontId="2" type="noConversion"/>
  </si>
  <si>
    <t>실제작업량 누적(Man-Day)</t>
    <phoneticPr fontId="2" type="noConversion"/>
  </si>
  <si>
    <t>Actual Workload Progress</t>
    <phoneticPr fontId="2" type="noConversion"/>
  </si>
  <si>
    <t>실제작업량 진척율</t>
    <phoneticPr fontId="2" type="noConversion"/>
  </si>
  <si>
    <t>Actual Workload(Man-Day)</t>
    <phoneticPr fontId="2" type="noConversion"/>
  </si>
  <si>
    <t>실제작업량(Man-Day)</t>
    <phoneticPr fontId="2" type="noConversion"/>
  </si>
  <si>
    <t>Actual__Finish</t>
    <phoneticPr fontId="4" type="noConversion"/>
  </si>
  <si>
    <t>실제__완료일</t>
    <phoneticPr fontId="4" type="noConversion"/>
  </si>
  <si>
    <t>Actual__Start</t>
    <phoneticPr fontId="4" type="noConversion"/>
  </si>
  <si>
    <t>실제__시작일</t>
    <phoneticPr fontId="4" type="noConversion"/>
  </si>
  <si>
    <t>Actual__Total Duration</t>
    <phoneticPr fontId="4" type="noConversion"/>
  </si>
  <si>
    <t>실제__총기간</t>
    <phoneticPr fontId="4" type="noConversion"/>
  </si>
  <si>
    <t>Actual__Total Work</t>
    <phoneticPr fontId="4" type="noConversion"/>
  </si>
  <si>
    <t>실제__총작업량</t>
    <phoneticPr fontId="4" type="noConversion"/>
  </si>
  <si>
    <t>Actual\nFinish</t>
  </si>
  <si>
    <t>실제\n완료일</t>
    <phoneticPr fontId="2" type="noConversion"/>
  </si>
  <si>
    <t>Actual\nStart</t>
  </si>
  <si>
    <t>실제\n시작일</t>
    <phoneticPr fontId="2" type="noConversion"/>
  </si>
  <si>
    <t>Actual\nStart-Finish</t>
    <phoneticPr fontId="2" type="noConversion"/>
  </si>
  <si>
    <t>실제_x000D_\n시작일-완료일</t>
    <phoneticPr fontId="2" type="noConversion"/>
  </si>
  <si>
    <t>Actual\nTotal Duration</t>
  </si>
  <si>
    <t>실제\n총기간</t>
    <phoneticPr fontId="2" type="noConversion"/>
  </si>
  <si>
    <t>Actual\nTotal Work</t>
  </si>
  <si>
    <t>실제\n총작업량</t>
  </si>
  <si>
    <t>Actually performed workload</t>
  </si>
  <si>
    <t>실제 투입된 작업량</t>
    <phoneticPr fontId="2" type="noConversion"/>
  </si>
  <si>
    <t>Actually Performed workload when managing schedule changes</t>
  </si>
  <si>
    <t>일정변경 관리할 때 현재까지 실제로 투입된 작업기간을 표시함</t>
  </si>
  <si>
    <t>Actually performed workload when not managing schedule changes(Total Duration x %Work Complete)</t>
  </si>
  <si>
    <t>일정변경관리 하지 않을 때 현재까지 실제로 진행된 작업기간을 표시함(총기간 x 총실적진행율)</t>
  </si>
  <si>
    <t>Add &gt;&gt;</t>
  </si>
  <si>
    <t>추가 &gt;&gt;</t>
  </si>
  <si>
    <t>Add Languages</t>
  </si>
  <si>
    <t>언어 추가</t>
  </si>
  <si>
    <t>Add to MS Outlook Calendar</t>
  </si>
  <si>
    <t>MS Outlook일정 등록</t>
  </si>
  <si>
    <t>Add to MS Outlook Task</t>
  </si>
  <si>
    <t>MS Outlook작업 등록</t>
  </si>
  <si>
    <t>Adding Tasks to Microsoft Outlook Calendar</t>
    <phoneticPr fontId="2" type="noConversion"/>
  </si>
  <si>
    <t>Microsoft Outlook작업, 일정등록</t>
  </si>
  <si>
    <t>Adds tasks to the Outlook calendar(You must have Microsoft Outlook installed on your PC).</t>
    <phoneticPr fontId="2" type="noConversion"/>
  </si>
  <si>
    <t>엑셀간트에서는 Schedule시트에 입력되어 있는 작업을 Microsoft Outlook에 작업이나 일정으로 등록할 수 있는 기능을 제공한다(단, PC에 Microsoft Outlook이 설치되어 있어야 한다).</t>
  </si>
  <si>
    <t>After turning off filtering, we'll proceed.</t>
  </si>
  <si>
    <t>필터를 해제하고 작업을 진행합니다.</t>
  </si>
  <si>
    <t>Ahead of schedule</t>
    <phoneticPr fontId="2" type="noConversion"/>
  </si>
  <si>
    <t>계획대비 빠름</t>
    <phoneticPr fontId="2" type="noConversion"/>
  </si>
  <si>
    <t>All tasks</t>
  </si>
  <si>
    <t>전체 조회(필터 해제)</t>
  </si>
  <si>
    <t>An error occurred while checking for updates. Please try again \nError Message: {}</t>
  </si>
  <si>
    <t>최신버전 확인 중 에러가 발생했습니다. 잠시 후 다시 시도하세요.\n에러메시지 : {}</t>
  </si>
  <si>
    <t>An error occurred while checking XLGantt cell formats. Please restart XLGantt.</t>
  </si>
  <si>
    <t>서식check 중 에러가 발생하였습니다. XLGantt를 종료하고 다시 시작하십시오.</t>
  </si>
  <si>
    <t>An error occurred while processing. Please check the messages below.</t>
  </si>
  <si>
    <t>처리 중 에러가 발생했습니다. 아래의 메시지를 확인하십시오.</t>
  </si>
  <si>
    <t>Analysis</t>
  </si>
  <si>
    <t>분석</t>
  </si>
  <si>
    <t>Analysis report</t>
    <phoneticPr fontId="2" type="noConversion"/>
  </si>
  <si>
    <t>분석 리포트</t>
  </si>
  <si>
    <t>Appearance</t>
    <phoneticPr fontId="2" type="noConversion"/>
  </si>
  <si>
    <t>모양</t>
    <phoneticPr fontId="2" type="noConversion"/>
  </si>
  <si>
    <t>Automatic</t>
    <phoneticPr fontId="2" type="noConversion"/>
  </si>
  <si>
    <t>자동</t>
    <phoneticPr fontId="2" type="noConversion"/>
  </si>
  <si>
    <t>Automatic Except for Data Tables</t>
    <phoneticPr fontId="2" type="noConversion"/>
  </si>
  <si>
    <t>데이터 표만 수동</t>
    <phoneticPr fontId="2" type="noConversion"/>
  </si>
  <si>
    <t>Automatically defined</t>
  </si>
  <si>
    <t>자동지정</t>
  </si>
  <si>
    <t>Available Languages</t>
  </si>
  <si>
    <t>추가 가능한 언어</t>
  </si>
  <si>
    <t>Bar chart Text Display Position</t>
  </si>
  <si>
    <t>Bar chart의 텍스트 표시 위치</t>
  </si>
  <si>
    <t>Because the following task already has been added, XLGantt does not add it to "Outlook".\n\nTask Name : {1} \nDue Date : {2}</t>
  </si>
  <si>
    <t>다음 작업은 이미 등록되어 있으므로 등록하지 않습니다.\n\n작업명 : {1} \n기한 : {2}</t>
  </si>
  <si>
    <t>Because the following task already has been added, XLGantt does not add it to "Outlook".\n\nTask Name : {1} \nStart Date : {2}</t>
  </si>
  <si>
    <t>다음 작업은 이미 등록되어 있으므로 등록하지 않습니다.\n\n작업명 : {1} \n시작일 : {2}</t>
  </si>
  <si>
    <t>Behind schedule</t>
    <phoneticPr fontId="2" type="noConversion"/>
  </si>
  <si>
    <t>일정 지연</t>
    <phoneticPr fontId="2" type="noConversion"/>
  </si>
  <si>
    <t>blabla</t>
  </si>
  <si>
    <t>...</t>
  </si>
  <si>
    <t>Black &amp; White</t>
    <phoneticPr fontId="2" type="noConversion"/>
  </si>
  <si>
    <t>흑백</t>
    <phoneticPr fontId="2" type="noConversion"/>
  </si>
  <si>
    <t>By %Work Complete</t>
  </si>
  <si>
    <t>완료율</t>
  </si>
  <si>
    <t>By Duration</t>
  </si>
  <si>
    <t>기간</t>
  </si>
  <si>
    <t>By Resource</t>
  </si>
  <si>
    <t>담당</t>
    <phoneticPr fontId="2" type="noConversion"/>
  </si>
  <si>
    <t>by Resource Allocation Ratio</t>
    <phoneticPr fontId="2" type="noConversion"/>
  </si>
  <si>
    <t>자원배정비율로 계산</t>
    <phoneticPr fontId="2" type="noConversion"/>
  </si>
  <si>
    <t>by Weight</t>
    <phoneticPr fontId="2" type="noConversion"/>
  </si>
  <si>
    <t>가중치로 계산</t>
    <phoneticPr fontId="2" type="noConversion"/>
  </si>
  <si>
    <t>Calculation Base Date of Planned %Work Complete</t>
  </si>
  <si>
    <t>계획진척율 계산 기준일자</t>
  </si>
  <si>
    <t>Calculation Base Date of Planned %Work Complete must be greater than or equal to project start date.</t>
  </si>
  <si>
    <t>계획진척율 계산 기준일자는 프로젝트 시작일보다 크거나 같아야 합니다.</t>
  </si>
  <si>
    <t>Calculation Base Date of Planned %Work Complete must be less than or equal to project finish date.</t>
  </si>
  <si>
    <t>계획진척율 계산 기준일자는 프로젝트 완료일보다 작거나 같아야 합니다.</t>
  </si>
  <si>
    <t>Calculation Options</t>
    <phoneticPr fontId="2" type="noConversion"/>
  </si>
  <si>
    <t>계산 옵션</t>
    <phoneticPr fontId="2" type="noConversion"/>
  </si>
  <si>
    <t>Calendar</t>
  </si>
  <si>
    <t>Cancel</t>
  </si>
  <si>
    <t>취소</t>
  </si>
  <si>
    <t>Chart</t>
  </si>
  <si>
    <t>차트</t>
  </si>
  <si>
    <t>Check for Updates</t>
  </si>
  <si>
    <t>최신버전\n확인</t>
    <phoneticPr fontId="2" type="noConversion"/>
  </si>
  <si>
    <t xml:space="preserve">Check for Updates on Startup </t>
  </si>
  <si>
    <t>프로그램 시작 시 최신버전 확인</t>
  </si>
  <si>
    <t>Check if you save deliverables in specific directory</t>
  </si>
  <si>
    <t>산출물 관리를 할 경우에 체크하세요</t>
  </si>
  <si>
    <t>Choose a file type to import</t>
  </si>
  <si>
    <t>가져올 파일 종류 선택</t>
  </si>
  <si>
    <t>Choose a language used in XLGantt</t>
  </si>
  <si>
    <t>XLGantt에서 사용할 언어 선택</t>
  </si>
  <si>
    <t>Choose a language used in XLGantt.</t>
  </si>
  <si>
    <t>XLGantt에서 사용할 언어를 선택하세요.</t>
  </si>
  <si>
    <t>Choose a language.</t>
  </si>
  <si>
    <t>언어를 선택하세요</t>
  </si>
  <si>
    <t>Choose an import option.</t>
  </si>
  <si>
    <t>가져오기 옵션을 선택하세요.</t>
  </si>
  <si>
    <t>Choose directly</t>
  </si>
  <si>
    <t>컴퓨터 O/S와 관계없이 직접 선택</t>
  </si>
  <si>
    <t>Choose the Type of Deliverables</t>
  </si>
  <si>
    <t>산출물 종류를 선택하세요</t>
  </si>
  <si>
    <t>Choose what to do after Importing Server Data</t>
    <phoneticPr fontId="2" type="noConversion"/>
  </si>
  <si>
    <t>서버데이터 가져온 후 수행할 작업 선택</t>
    <phoneticPr fontId="2" type="noConversion"/>
  </si>
  <si>
    <t>Close</t>
  </si>
  <si>
    <t>닫기</t>
  </si>
  <si>
    <t>Color Theme</t>
    <phoneticPr fontId="2" type="noConversion"/>
  </si>
  <si>
    <t>컬러 테마</t>
    <phoneticPr fontId="2" type="noConversion"/>
  </si>
  <si>
    <t>Completed(=100%)</t>
  </si>
  <si>
    <t>완료</t>
  </si>
  <si>
    <t>Contains</t>
  </si>
  <si>
    <t>포함</t>
  </si>
  <si>
    <t>Create Workload Data by Months</t>
  </si>
  <si>
    <t>Workload Data생성(월별)</t>
  </si>
  <si>
    <t>Create Workload Data by Weeks</t>
    <phoneticPr fontId="2" type="noConversion"/>
  </si>
  <si>
    <t>Workload Data생성(주별)</t>
    <phoneticPr fontId="2" type="noConversion"/>
  </si>
  <si>
    <t>Current Version</t>
  </si>
  <si>
    <t>현재 사용중인 버전</t>
  </si>
  <si>
    <t>Custom</t>
    <phoneticPr fontId="2" type="noConversion"/>
  </si>
  <si>
    <t>사용자 정의</t>
    <phoneticPr fontId="2" type="noConversion"/>
  </si>
  <si>
    <t>Daily</t>
  </si>
  <si>
    <t>일별</t>
  </si>
  <si>
    <t>Daily view</t>
  </si>
  <si>
    <t>일별보기</t>
  </si>
  <si>
    <t>Days (Average number of working days per month)</t>
  </si>
  <si>
    <t>일 (월평균 근무일수)</t>
  </si>
  <si>
    <t xml:space="preserve">Days counted as Nonworking days </t>
  </si>
  <si>
    <t>휴무일로 계산되는 날</t>
  </si>
  <si>
    <t>Default</t>
    <phoneticPr fontId="2" type="noConversion"/>
  </si>
  <si>
    <t>기본</t>
    <phoneticPr fontId="2" type="noConversion"/>
  </si>
  <si>
    <t>Deliverables</t>
  </si>
  <si>
    <t>산출물</t>
  </si>
  <si>
    <t>Deliverables field.</t>
  </si>
  <si>
    <t>산출물 필드입니다.</t>
  </si>
  <si>
    <t>Deliverables type is not selected</t>
  </si>
  <si>
    <t>산출물 종류가 선택되지 않았습니다</t>
  </si>
  <si>
    <t>Display  % Work Complete</t>
  </si>
  <si>
    <t>실적진척율 표시</t>
  </si>
  <si>
    <t>Display date</t>
  </si>
  <si>
    <t>날짜 표시</t>
  </si>
  <si>
    <t>Display date on the timescale</t>
    <phoneticPr fontId="2" type="noConversion"/>
  </si>
  <si>
    <t>간트차트 눈금에 날짜 표시</t>
    <phoneticPr fontId="2" type="noConversion"/>
  </si>
  <si>
    <t>Display font color to gray for the completed tasks</t>
    <phoneticPr fontId="2" type="noConversion"/>
  </si>
  <si>
    <t>완료된 작업의 폰트색상 회색표시</t>
  </si>
  <si>
    <t>Display interior color to gray for the task groups</t>
    <phoneticPr fontId="2" type="noConversion"/>
  </si>
  <si>
    <t>작업그룹의 배경색 회색표시</t>
  </si>
  <si>
    <t>Display Planned %Work Complete</t>
  </si>
  <si>
    <t>계획진척율 표시</t>
  </si>
  <si>
    <t>Display project week number on the timescale</t>
    <phoneticPr fontId="2" type="noConversion"/>
  </si>
  <si>
    <t>간트차트 눈금에 프로젝트 주차 표시</t>
    <phoneticPr fontId="2" type="noConversion"/>
  </si>
  <si>
    <t>Display resource</t>
  </si>
  <si>
    <t>담당 표시</t>
  </si>
  <si>
    <t xml:space="preserve">Display task name </t>
  </si>
  <si>
    <t>작업명 표시</t>
  </si>
  <si>
    <t>Display the task name in the same field</t>
  </si>
  <si>
    <t>같은 필드에 작업명 표시</t>
  </si>
  <si>
    <t>Display the total workload of the project</t>
  </si>
  <si>
    <t>프로젝트 전체의 작업량을 Man/Day로 표시한다. 가중치를 적용한 값이다.</t>
  </si>
  <si>
    <t>Display year on the timescale</t>
    <phoneticPr fontId="2" type="noConversion"/>
  </si>
  <si>
    <t>간트차트 눈금에 년도 표시</t>
    <phoneticPr fontId="2" type="noConversion"/>
  </si>
  <si>
    <t>Displayed in %Work complete column</t>
    <phoneticPr fontId="2" type="noConversion"/>
  </si>
  <si>
    <t>실적 열에 표시됨</t>
    <phoneticPr fontId="2" type="noConversion"/>
  </si>
  <si>
    <t>Displays the task name in the different field for each level</t>
  </si>
  <si>
    <t>Level별로 다른 필드에 작업명 표시</t>
  </si>
  <si>
    <t>Do not recalculate WBS area after import</t>
    <phoneticPr fontId="2" type="noConversion"/>
  </si>
  <si>
    <t>가져오기 후 WBS영역 재계산 안함</t>
    <phoneticPr fontId="2" type="noConversion"/>
  </si>
  <si>
    <t>Download the latest version</t>
  </si>
  <si>
    <t>프로그램 최신버전 다운로드</t>
  </si>
  <si>
    <t>Drawing Gantt chart</t>
  </si>
  <si>
    <t>Gantt chart 그리기 작업</t>
  </si>
  <si>
    <t>Drawing progress line</t>
  </si>
  <si>
    <t>진척율선 그리기</t>
  </si>
  <si>
    <t xml:space="preserve">Duration </t>
  </si>
  <si>
    <t>기간 지정</t>
  </si>
  <si>
    <t>Earned Value Accumulated(Man-Day)</t>
    <phoneticPr fontId="2" type="noConversion"/>
  </si>
  <si>
    <t>실적기성 누적(Man-Day)</t>
    <phoneticPr fontId="2" type="noConversion"/>
  </si>
  <si>
    <t>Earned value on planned schedule</t>
    <phoneticPr fontId="2" type="noConversion"/>
  </si>
  <si>
    <t>실적기성</t>
    <phoneticPr fontId="2" type="noConversion"/>
  </si>
  <si>
    <t>Earned value on planned schedule when managing schedule changes(Total Duration x %Work Complete)</t>
    <phoneticPr fontId="2" type="noConversion"/>
  </si>
  <si>
    <t>일정변경관리 할때 실적기성(총기간 x 총실적진행율)</t>
    <phoneticPr fontId="2" type="noConversion"/>
  </si>
  <si>
    <t>Earned value on planned schedule(Total Duration x %Work Complete)</t>
    <phoneticPr fontId="2" type="noConversion"/>
  </si>
  <si>
    <t>실적기성(총기간 x 총실적진행율)</t>
    <phoneticPr fontId="2" type="noConversion"/>
  </si>
  <si>
    <t>Earned Value Progress</t>
    <phoneticPr fontId="2" type="noConversion"/>
  </si>
  <si>
    <t>실적기성 진척율</t>
    <phoneticPr fontId="2" type="noConversion"/>
  </si>
  <si>
    <t>Earned Value(C)\nMan-day</t>
    <phoneticPr fontId="2" type="noConversion"/>
  </si>
  <si>
    <t>실적기성( C )\nMan-day</t>
    <phoneticPr fontId="2" type="noConversion"/>
  </si>
  <si>
    <t>Earned Value(Man-Day)</t>
    <phoneticPr fontId="2" type="noConversion"/>
  </si>
  <si>
    <t>실적기성(Man-Day)</t>
    <phoneticPr fontId="2" type="noConversion"/>
  </si>
  <si>
    <t>Edit a Task</t>
  </si>
  <si>
    <t>작업 정보</t>
  </si>
  <si>
    <t>Elsa,John[50%]</t>
    <phoneticPr fontId="2" type="noConversion"/>
  </si>
  <si>
    <t>홍길동,김길동[50%]</t>
    <phoneticPr fontId="2" type="noConversion"/>
  </si>
  <si>
    <t>Enabled Languages</t>
  </si>
  <si>
    <t>사용할 수 있는 언어</t>
  </si>
  <si>
    <t>Equals</t>
  </si>
  <si>
    <t>같음</t>
  </si>
  <si>
    <t>Error! Calculated Total Man-Day is different from the Total Man-Day of the {} sheet.</t>
  </si>
  <si>
    <t>오류! 계산된 Total Man-Day가 {} sheet의 Total Man-Day와 다릅니다.</t>
  </si>
  <si>
    <t>Error! Cause may be one of the following.\n * File is invalid(e.g. the XLGantt file corrupted)\n * Not XLGantt file but General Excel file\n\n Please check the messages below for details.</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</si>
  <si>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</si>
  <si>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Error, Invalid field specified.</t>
  </si>
  <si>
    <t>오류, 지정할 수 없는 필드가 있습니다</t>
  </si>
  <si>
    <t>Etc</t>
  </si>
  <si>
    <t>기타</t>
    <phoneticPr fontId="2" type="noConversion"/>
  </si>
  <si>
    <t>Excel</t>
  </si>
  <si>
    <t>엑셀</t>
  </si>
  <si>
    <t>Execution path of Program</t>
  </si>
  <si>
    <t>프로그램 실행경로</t>
  </si>
  <si>
    <t>Extension</t>
  </si>
  <si>
    <t>확장자명</t>
  </si>
  <si>
    <t>Filter</t>
  </si>
  <si>
    <t>필터 적용</t>
  </si>
  <si>
    <t>Filter Task</t>
  </si>
  <si>
    <t>작업 필터</t>
  </si>
  <si>
    <t>Finish</t>
  </si>
  <si>
    <t>Finish Date</t>
  </si>
  <si>
    <t>완료일자</t>
  </si>
  <si>
    <t>Finish date field of a task. It must be in date format.</t>
  </si>
  <si>
    <t>각 작업의 완료일(또는 종료일)을 표시합니다. 반드시 날짜 형식이어야 합니다.</t>
  </si>
  <si>
    <t>Finish date is invalid.</t>
  </si>
  <si>
    <t>작업완료일의 날짜형식이 잘못되었습니다.</t>
  </si>
  <si>
    <t>Finish date is invalid. Verify row {} of the source file.</t>
  </si>
  <si>
    <t>완료일자에 날짜가 아닌 값이 포함되어 있습니다. Import하는 파일의 {}행을 확인하세요.</t>
  </si>
  <si>
    <t>First day of week</t>
  </si>
  <si>
    <t>한주의 시작요일</t>
  </si>
  <si>
    <t>Follow the language setting of your computer O/S</t>
  </si>
  <si>
    <t>컴퓨터 O/S의 언어설정을 따름</t>
  </si>
  <si>
    <t>Fri</t>
  </si>
  <si>
    <t>금</t>
  </si>
  <si>
    <t>From (File to import )</t>
  </si>
  <si>
    <t>Source파일(가져올 파일 )</t>
  </si>
  <si>
    <t>From Date is invalid.</t>
  </si>
  <si>
    <t>시작날짜 형식이 잘못되었습니다.</t>
  </si>
  <si>
    <t>Gantt Chart Display</t>
  </si>
  <si>
    <t>Gantt chart표시 방법</t>
  </si>
  <si>
    <t>Gantt chart group task bar</t>
    <phoneticPr fontId="2" type="noConversion"/>
  </si>
  <si>
    <t>간트차트 그룹작업Bar</t>
    <phoneticPr fontId="2" type="noConversion"/>
  </si>
  <si>
    <t>Gantt chart progress line</t>
    <phoneticPr fontId="2" type="noConversion"/>
  </si>
  <si>
    <t>간트차트 진척율선</t>
    <phoneticPr fontId="2" type="noConversion"/>
  </si>
  <si>
    <t>Gantt chart sub task bar</t>
    <phoneticPr fontId="2" type="noConversion"/>
  </si>
  <si>
    <t>간트차트 하위작업Bar</t>
    <phoneticPr fontId="2" type="noConversion"/>
  </si>
  <si>
    <t>Gantt chart title</t>
    <phoneticPr fontId="2" type="noConversion"/>
  </si>
  <si>
    <t>간트차트 타이틀</t>
    <phoneticPr fontId="2" type="noConversion"/>
  </si>
  <si>
    <t>Gantt Chart View Style</t>
  </si>
  <si>
    <t>Gantt Chart 보기 형식</t>
  </si>
  <si>
    <t>Gantt Chart Zoom Ratio(Max 999%)</t>
    <phoneticPr fontId="2" type="noConversion"/>
  </si>
  <si>
    <t>Gantt Chart 축소/확대 비율(최대 999%)</t>
    <phoneticPr fontId="2" type="noConversion"/>
  </si>
  <si>
    <t>General</t>
  </si>
  <si>
    <t>일반</t>
    <phoneticPr fontId="2" type="noConversion"/>
  </si>
  <si>
    <t>Getting Started With XLGantt</t>
    <phoneticPr fontId="2" type="noConversion"/>
  </si>
  <si>
    <t>간단 사용법</t>
  </si>
  <si>
    <t>Green</t>
    <phoneticPr fontId="2" type="noConversion"/>
  </si>
  <si>
    <t>그린</t>
    <phoneticPr fontId="2" type="noConversion"/>
  </si>
  <si>
    <t>Group rows</t>
    <phoneticPr fontId="2" type="noConversion"/>
  </si>
  <si>
    <t>작업을 그룹으로 묶기</t>
    <phoneticPr fontId="2" type="noConversion"/>
  </si>
  <si>
    <t>Group rows(Max 8 Levels)</t>
    <phoneticPr fontId="2" type="noConversion"/>
  </si>
  <si>
    <t>작업을 그룹으로 묶기(최대 8 레벨)</t>
    <phoneticPr fontId="2" type="noConversion"/>
  </si>
  <si>
    <t>Help</t>
    <phoneticPr fontId="2" type="noConversion"/>
  </si>
  <si>
    <t>Help and the latest version</t>
    <phoneticPr fontId="2" type="noConversion"/>
  </si>
  <si>
    <t>도움말, 최신 버전 다운로드</t>
    <phoneticPr fontId="2" type="noConversion"/>
  </si>
  <si>
    <t>How to use</t>
    <phoneticPr fontId="2" type="noConversion"/>
  </si>
  <si>
    <t>사용법</t>
    <phoneticPr fontId="2" type="noConversion"/>
  </si>
  <si>
    <t>https://xlworks.net/en</t>
    <phoneticPr fontId="2" type="noConversion"/>
  </si>
  <si>
    <t>https://xlworks.net</t>
    <phoneticPr fontId="2" type="noConversion"/>
  </si>
  <si>
    <t>https://xlworks.net/en/xlgantt-project-scheduler/</t>
    <phoneticPr fontId="2" type="noConversion"/>
  </si>
  <si>
    <t>https://xlworks.net/xlgantt-project-scheduler/</t>
    <phoneticPr fontId="2" type="noConversion"/>
  </si>
  <si>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</si>
  <si>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</si>
  <si>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</si>
  <si>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</si>
  <si>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</si>
  <si>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</si>
  <si>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</si>
  <si>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</si>
  <si>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</si>
  <si>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https://xlworks.net/xlgantt-howto-05-analysis-report/</t>
    <phoneticPr fontId="2" type="noConversion"/>
  </si>
  <si>
    <t>https://xlworks.net/en/xlgantt-howto-06-schedule-change-management/</t>
    <phoneticPr fontId="2" type="noConversion"/>
  </si>
  <si>
    <t>https://xlworks.net/xlgantt-howto-06-schedule-change-management/</t>
    <phoneticPr fontId="2" type="noConversion"/>
  </si>
  <si>
    <t>https://xlworks.net/en/xlgantt-howto-07-deliverables/</t>
    <phoneticPr fontId="2" type="noConversion"/>
  </si>
  <si>
    <t>https://xlworks.net/xlgantt-howto-07-deliverables/</t>
    <phoneticPr fontId="2" type="noConversion"/>
  </si>
  <si>
    <t>https://xlworks.net/en/xlgantt-howto-08-add-tasks-to-outlook/</t>
    <phoneticPr fontId="2" type="noConversion"/>
  </si>
  <si>
    <t>https://xlworks.net/xlgantt-howto-08-add-tasks-to-outlook/</t>
    <phoneticPr fontId="2" type="noConversion"/>
  </si>
  <si>
    <t>https://xlworks.net/en/xlgantt-howto-09-multilingual-support/</t>
    <phoneticPr fontId="2" type="noConversion"/>
  </si>
  <si>
    <t>https://xlworks.net/xlgantt-howto-09-multilingual-support/</t>
  </si>
  <si>
    <t>https://xlworks.net/en/xlgantt-howto-10-import-schedule/</t>
    <phoneticPr fontId="2" type="noConversion"/>
  </si>
  <si>
    <t>https://xlworks.net/xlgantt-howto-10-import-schedule/</t>
  </si>
  <si>
    <t>https://xlworks.net/en/xlgantt-howto-11-calendar/</t>
    <phoneticPr fontId="2" type="noConversion"/>
  </si>
  <si>
    <t>https://xlworks.net/xlgantt-howto-11-calendar/</t>
  </si>
  <si>
    <t>https://xlworks.net/en/xlgantt-howto-12-integration-with-excel/</t>
    <phoneticPr fontId="2" type="noConversion"/>
  </si>
  <si>
    <t>https://xlworks.net/xlgantt-howto-12-integration-with-excel/</t>
  </si>
  <si>
    <t>https://xlworks.net/en/xlgantt-howto-13-server-data/</t>
    <phoneticPr fontId="2" type="noConversion"/>
  </si>
  <si>
    <t>https://xlworks.net/xlgantt-howto-13-server-data/</t>
    <phoneticPr fontId="2" type="noConversion"/>
  </si>
  <si>
    <t>If the language in source file and the language in target file are different, you can not import.</t>
  </si>
  <si>
    <t>가져오는 파일(소스파일)에 설정된 언어와 이 파일(타겟파일)에 설정된 언어가 다르면 Import할 수 없습니다.</t>
  </si>
  <si>
    <t>If you choose "Assigning path by task name automatically" option, you need to set the upper path.</t>
  </si>
  <si>
    <t>작업명으로 하위 경로 자동지정을 선택한 경우에는 상위의 기본경로를 설정해야 합니다.</t>
  </si>
  <si>
    <t>If you do not enter the actual finish date of row number {1} in the {2} sheet, you can't enter "%Work Complete" as 100%.</t>
  </si>
  <si>
    <t>{2} sheet의 {1}행의 실제시작일만 입력하고 실제완료일을 비워놓으면 완료율을 100%로 입력할 수 없습니다.</t>
  </si>
  <si>
    <t>If you want to learn the features quickly and easily, see the "Getting Started With XLGantt".</t>
    <phoneticPr fontId="2" type="noConversion"/>
  </si>
  <si>
    <t>기능을 간단히 빨리 익히고 싶으면 “간단 사용법”을 참고한다</t>
  </si>
  <si>
    <t>Import</t>
  </si>
  <si>
    <t>가져오기</t>
  </si>
  <si>
    <t xml:space="preserve">Import  Data of "ServerData" sheet on Startup </t>
    <phoneticPr fontId="2" type="noConversion"/>
  </si>
  <si>
    <t>프로그램 시작 시 "ServerData" 시트의 데이터 가져오기</t>
    <phoneticPr fontId="2" type="noConversion"/>
  </si>
  <si>
    <t>Import common Excel file</t>
  </si>
  <si>
    <t>일반 Excel 파일</t>
  </si>
  <si>
    <t>Import data after clearing the existing data</t>
  </si>
  <si>
    <t>기존Data 지우고 가져오기</t>
  </si>
  <si>
    <t>Import Data without Clearing the Existing Data</t>
  </si>
  <si>
    <t>기존Data 아래에 추가하기</t>
  </si>
  <si>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</si>
  <si>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</si>
  <si>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</si>
  <si>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</si>
  <si>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Import files created in XLGantt</t>
  </si>
  <si>
    <t>XLGantt로 작성된 파일 가져오기</t>
  </si>
  <si>
    <t>Import from Server</t>
    <phoneticPr fontId="2" type="noConversion"/>
  </si>
  <si>
    <t>서버에서\n가져오기</t>
    <phoneticPr fontId="2" type="noConversion"/>
  </si>
  <si>
    <t>Import has already been completed.</t>
    <phoneticPr fontId="2" type="noConversion"/>
  </si>
  <si>
    <t>가져오기가 이미 완료되었습니다.</t>
    <phoneticPr fontId="2" type="noConversion"/>
  </si>
  <si>
    <t>Import new data into the Schedule sheet after clearing the exisint data</t>
  </si>
  <si>
    <t>이 XLGantt파일에 있는 Data를 지우고 새로운 Data를 가져와서 _x000D_
붙여 넣기</t>
  </si>
  <si>
    <t>Import new data into the Schedule sheet without clearing the existing  data</t>
  </si>
  <si>
    <t>이 XLGantt파일에 있는 Data를 그대로 두고 맨 아래에 새로운 Data를 가져와서 붙여 넣기</t>
  </si>
  <si>
    <t>Import Option</t>
  </si>
  <si>
    <t>가져오기 옵션</t>
  </si>
  <si>
    <t xml:space="preserve">Import success!\nTotal rows of imported data : </t>
  </si>
  <si>
    <t xml:space="preserve">가져오기 작업이 정상적으로 완료되었습니다.\n가져온 자료의 전체 행수 : </t>
  </si>
  <si>
    <t>Import without clearing the existing data.</t>
  </si>
  <si>
    <t>기존Data에 추가하기</t>
  </si>
  <si>
    <t>Import Wizard</t>
  </si>
  <si>
    <t>파일 가져오기</t>
  </si>
  <si>
    <t>Importing Schedules from Another File</t>
    <phoneticPr fontId="2" type="noConversion"/>
  </si>
  <si>
    <t>다른 파일에서 일정 가져오기</t>
  </si>
  <si>
    <t>Importing Server Data</t>
    <phoneticPr fontId="2" type="noConversion"/>
  </si>
  <si>
    <t>Server Data 가져오기</t>
  </si>
  <si>
    <t>Importing..., Please wait...</t>
  </si>
  <si>
    <t>자료를 가져옵니다. 잠시만 기다려주세요...</t>
  </si>
  <si>
    <t>Imports schedules into XLGantt. You can import the schedules by mapping the fields.</t>
    <phoneticPr fontId="2" type="noConversion"/>
  </si>
  <si>
    <t>엑셀간트에서는 엑셀간트(XLGantt) 또는 일반 엑셀파일로 만들어진 일정을 가져오는 기능을 제공한다.</t>
  </si>
  <si>
    <t>Included in the selection\nlist when deliverables\nnot specified</t>
  </si>
  <si>
    <t>산출물명 비었을때\n선택목록에 포함\n여부</t>
  </si>
  <si>
    <t>Indent Task</t>
  </si>
  <si>
    <t>작업레벨 내림</t>
  </si>
  <si>
    <t>Inside of the chart</t>
  </si>
  <si>
    <t>Chart 내부</t>
  </si>
  <si>
    <t>Integration with Excel Features</t>
    <phoneticPr fontId="2" type="noConversion"/>
  </si>
  <si>
    <t>Invalid field name!</t>
    <phoneticPr fontId="2" type="noConversion"/>
  </si>
  <si>
    <t>필드명이 잘못되었습니다!</t>
    <phoneticPr fontId="2" type="noConversion"/>
  </si>
  <si>
    <t>It is used when you want to see schedule data of IT system where server exists separately.</t>
    <phoneticPr fontId="2" type="noConversion"/>
  </si>
  <si>
    <t>Server가 별도로 존재하는 IT시스템의 일정관리 Data를 PC에서 보고자할 때 사용한다.</t>
  </si>
  <si>
    <t>It recalculates duration and % Work Complete. Clicking the Save button will be the same.</t>
  </si>
  <si>
    <t>It's already chosen language.</t>
  </si>
  <si>
    <t>이미 선택된 언어입니다.</t>
  </si>
  <si>
    <t>Job Results</t>
  </si>
  <si>
    <t>작업결과</t>
  </si>
  <si>
    <t>John</t>
  </si>
  <si>
    <t>홍길동</t>
  </si>
  <si>
    <t>Keeping track of project progress</t>
    <phoneticPr fontId="2" type="noConversion"/>
  </si>
  <si>
    <t>프로젝트 전체 진행상황 파악하기</t>
  </si>
  <si>
    <t>Language</t>
  </si>
  <si>
    <t>언어</t>
    <phoneticPr fontId="2" type="noConversion"/>
  </si>
  <si>
    <t>Left of the chart</t>
  </si>
  <si>
    <t>Chart 왼쪽</t>
  </si>
  <si>
    <t>License</t>
  </si>
  <si>
    <t>라이선스</t>
  </si>
  <si>
    <t>Makes workload data by weekly and monthly. You can do analysis as you want by using Excel features such as pivot.</t>
    <phoneticPr fontId="2" type="noConversion"/>
  </si>
  <si>
    <t>Manages the planned schedule and actual schedule of the project.</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</si>
  <si>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</si>
  <si>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Managing Schedule Changes</t>
  </si>
  <si>
    <t>일정변경 관리함(시작일/완료일, 실제시작일/실제완료일 사용)</t>
  </si>
  <si>
    <t>Man-Day</t>
  </si>
  <si>
    <t>Man-Month</t>
  </si>
  <si>
    <t>Manual</t>
    <phoneticPr fontId="2" type="noConversion"/>
  </si>
  <si>
    <t>수동</t>
    <phoneticPr fontId="2" type="noConversion"/>
  </si>
  <si>
    <t>Map &gt;&gt;</t>
  </si>
  <si>
    <t>Mapping &gt;&gt;</t>
  </si>
  <si>
    <t>Mark task as milestone</t>
    <phoneticPr fontId="2" type="noConversion"/>
  </si>
  <si>
    <t>작업을 마일스톤으로 지정</t>
    <phoneticPr fontId="2" type="noConversion"/>
  </si>
  <si>
    <t>mm/dd/yyyy</t>
  </si>
  <si>
    <t>yyyy/mm/dd</t>
    <phoneticPr fontId="2" type="noConversion"/>
  </si>
  <si>
    <t>mmmm yyyy</t>
  </si>
  <si>
    <t>yyyy년 m월</t>
  </si>
  <si>
    <t>Mon</t>
  </si>
  <si>
    <t>월</t>
  </si>
  <si>
    <t>Monthly</t>
  </si>
  <si>
    <t>월별</t>
  </si>
  <si>
    <t>Monthly view</t>
  </si>
  <si>
    <t>월별보기</t>
  </si>
  <si>
    <t>Months</t>
  </si>
  <si>
    <t>Multilingual Support</t>
  </si>
  <si>
    <t>다국어 지원</t>
  </si>
  <si>
    <t>Name of Nonworking Days</t>
  </si>
  <si>
    <t>휴무일명</t>
  </si>
  <si>
    <t>New Version</t>
  </si>
  <si>
    <t>최신 버전</t>
  </si>
  <si>
    <t>Next &gt;&gt;</t>
  </si>
  <si>
    <t>다음 &gt;&gt;</t>
  </si>
  <si>
    <t>No data to import.</t>
    <phoneticPr fontId="2" type="noConversion"/>
  </si>
  <si>
    <t>가져올 데이터가 없습니다.</t>
    <phoneticPr fontId="2" type="noConversion"/>
  </si>
  <si>
    <t>No need to enter in the Calendar sheet</t>
  </si>
  <si>
    <t>Calendar sheet에 입력할 필요 없음</t>
  </si>
  <si>
    <t>No need to enter Saturdays and Sundays in the Calendar sheet</t>
  </si>
  <si>
    <t>토요일,일요일은 Calendar sheet에 입력할 필요 없음</t>
    <phoneticPr fontId="2" type="noConversion"/>
  </si>
  <si>
    <t>for Week Number</t>
    <phoneticPr fontId="2" type="noConversion"/>
  </si>
  <si>
    <t>None</t>
    <phoneticPr fontId="2" type="noConversion"/>
  </si>
  <si>
    <t>표시 안함</t>
    <phoneticPr fontId="2" type="noConversion"/>
  </si>
  <si>
    <t>Nonworking Days</t>
  </si>
  <si>
    <t>휴무일자</t>
  </si>
  <si>
    <t>Not Completed(&lt;&gt;100%)</t>
  </si>
  <si>
    <t>미완료</t>
  </si>
  <si>
    <t>Not Managing Schedule Changes</t>
  </si>
  <si>
    <t>일정변경 관리 안함(시작일/완료일만 사용)</t>
  </si>
  <si>
    <t>Not Specified(Standard Calendar)</t>
  </si>
  <si>
    <t>지정하지 않음(표준캘린더)</t>
  </si>
  <si>
    <t>Note</t>
  </si>
  <si>
    <t>비고</t>
  </si>
  <si>
    <t>Number of "Task" columns(Max 20)</t>
    <phoneticPr fontId="2" type="noConversion"/>
  </si>
  <si>
    <t>"작업"열의 개수(최대 20개)</t>
    <phoneticPr fontId="2" type="noConversion"/>
  </si>
  <si>
    <t>Of the first two rows, at least one has been deleted. Please retry after changing the sheet to its previous state.</t>
  </si>
  <si>
    <t>1~2행 중 한 행이 삭제되었습니다. 원래대로 복구한 후 작업하십시오.</t>
  </si>
  <si>
    <t>On schedule</t>
    <phoneticPr fontId="2" type="noConversion"/>
  </si>
  <si>
    <t>일정 준수</t>
    <phoneticPr fontId="2" type="noConversion"/>
  </si>
  <si>
    <t>Once you choose "Display the task name in the same field" option, you should select a WBS No. or a WBS Level field.</t>
  </si>
  <si>
    <t>"같은 필드에 작업명 표시" 옵션을 선택했으면 WBS No. 또는 개요수준(WBS Level) 필드 중 하나는 선택되어야 합니다</t>
  </si>
  <si>
    <t>Only Saturdays and Sundays</t>
  </si>
  <si>
    <t>토요일,일요일만</t>
    <phoneticPr fontId="2" type="noConversion"/>
  </si>
  <si>
    <t>Only the dates entered in the Calendar sheet</t>
  </si>
  <si>
    <t>Calendar sheet에 입력된 날짜만</t>
    <phoneticPr fontId="2" type="noConversion"/>
  </si>
  <si>
    <t>Open Deliverables</t>
  </si>
  <si>
    <t>산출물 열기</t>
  </si>
  <si>
    <t>Open Deliverables Folder</t>
  </si>
  <si>
    <t>산출물 폴더 열기</t>
  </si>
  <si>
    <t>Options</t>
  </si>
  <si>
    <t>옵션</t>
  </si>
  <si>
    <t>Outdent Task</t>
  </si>
  <si>
    <t>작업레벨 올림</t>
  </si>
  <si>
    <t>Outline Level</t>
  </si>
  <si>
    <t>개요수준</t>
  </si>
  <si>
    <t xml:space="preserve">Percent </t>
  </si>
  <si>
    <t>퍼센트 지정</t>
  </si>
  <si>
    <t>Pick a Date</t>
  </si>
  <si>
    <t>날짜 선택</t>
  </si>
  <si>
    <t>Plan</t>
    <phoneticPr fontId="2" type="noConversion"/>
  </si>
  <si>
    <t>계획</t>
    <phoneticPr fontId="2" type="noConversion"/>
  </si>
  <si>
    <t>Planned %Work Complete</t>
  </si>
  <si>
    <t>계획진척율</t>
    <phoneticPr fontId="2" type="noConversion"/>
  </si>
  <si>
    <t>Planned %Work Complete calculation base date</t>
  </si>
  <si>
    <t>계획진척율 계산 기준일자</t>
    <phoneticPr fontId="2" type="noConversion"/>
  </si>
  <si>
    <t>Planned %Work Complete from the start date to the current date</t>
  </si>
  <si>
    <t>현재날짜까지 계획된 진척율, WBS의 "계획진척율"의 전체 합계 진척율을 표시함</t>
  </si>
  <si>
    <t>Planned %Work Complete(A)</t>
  </si>
  <si>
    <t>계획 진척율(A)</t>
  </si>
  <si>
    <t>Planned %Work Complete(B/A)</t>
  </si>
  <si>
    <t>Planned Duration</t>
  </si>
  <si>
    <t>계획기간</t>
  </si>
  <si>
    <t>Planned Progress</t>
  </si>
  <si>
    <t>계획진척율</t>
  </si>
  <si>
    <t>Planned Work</t>
  </si>
  <si>
    <t>계획작업량</t>
  </si>
  <si>
    <t>Planned Work(B)\nMan-day</t>
  </si>
  <si>
    <t>계획작업량(B)\nMan-day</t>
  </si>
  <si>
    <t>Planned Work\n(ManDay to Today)</t>
  </si>
  <si>
    <t>계획 작업량_x000D_
(현재일까지ManDay,_x000D_
가중치 감안)</t>
  </si>
  <si>
    <t>Planned workload</t>
  </si>
  <si>
    <t>현재일까지 계획된 작업량</t>
  </si>
  <si>
    <t>Planned Workload Accumulated(Man-Day)</t>
    <phoneticPr fontId="2" type="noConversion"/>
  </si>
  <si>
    <t>계획작업량 누적(Man-Day)</t>
    <phoneticPr fontId="2" type="noConversion"/>
  </si>
  <si>
    <t>Planned workload from the start date to the current date</t>
  </si>
  <si>
    <t>해당작업의 시작일부터 현재일까지의 작업기간을 의미함(현재 날짜까지 진행되었어야 할 기간)</t>
  </si>
  <si>
    <t>Planned Workload Progress</t>
    <phoneticPr fontId="2" type="noConversion"/>
  </si>
  <si>
    <t>계획작업량 진척율</t>
    <phoneticPr fontId="2" type="noConversion"/>
  </si>
  <si>
    <t>Planned Workload(Man-Day)</t>
    <phoneticPr fontId="2" type="noConversion"/>
  </si>
  <si>
    <t>계획작업량(Man-Day)</t>
    <phoneticPr fontId="2" type="noConversion"/>
  </si>
  <si>
    <t>Planned__%Work Complete</t>
    <phoneticPr fontId="4" type="noConversion"/>
  </si>
  <si>
    <t>계획</t>
  </si>
  <si>
    <t>Planned__Duration</t>
    <phoneticPr fontId="4" type="noConversion"/>
  </si>
  <si>
    <t>계획__기간</t>
    <phoneticPr fontId="4" type="noConversion"/>
  </si>
  <si>
    <t>Planned__Work</t>
    <phoneticPr fontId="4" type="noConversion"/>
  </si>
  <si>
    <t>계획__작업량</t>
    <phoneticPr fontId="4" type="noConversion"/>
  </si>
  <si>
    <t>Planned\n%Work Complete</t>
  </si>
  <si>
    <t>Planned\nDuration</t>
  </si>
  <si>
    <t>계획\n기간</t>
  </si>
  <si>
    <t>Planned\nWork</t>
  </si>
  <si>
    <t>계획\n작업량</t>
  </si>
  <si>
    <t>Please choose a type of the task field.</t>
  </si>
  <si>
    <t>작업필드의 유형을 선택하세요.</t>
  </si>
  <si>
    <t>Please enter the extension.</t>
  </si>
  <si>
    <t>확장자명을 입력하세요.</t>
  </si>
  <si>
    <t>Please enter the path where deliverables are saved.</t>
  </si>
  <si>
    <t>산출물이 저장될 특정경로를 입력하세요.</t>
  </si>
  <si>
    <t>Please enter the program execution path.</t>
  </si>
  <si>
    <t>프로그램 실행경로를 입력하세요.</t>
  </si>
  <si>
    <t>Please set project calendars in this sheet.</t>
  </si>
  <si>
    <t>이 Sheet에서 프로젝트 Calendar를 설정하세요.</t>
  </si>
  <si>
    <t>Positive - ahead of schedule, Negative - behind schedule</t>
  </si>
  <si>
    <t>양수이면 계획보다 빨리 진행, 음수이면 지연</t>
  </si>
  <si>
    <t>Powerpoint</t>
  </si>
  <si>
    <t>파워포인트</t>
  </si>
  <si>
    <t>Program Info</t>
  </si>
  <si>
    <t>프로그램 정보</t>
  </si>
  <si>
    <t>Program Name</t>
  </si>
  <si>
    <t>프로그램명</t>
  </si>
  <si>
    <t>Program Site</t>
  </si>
  <si>
    <t>프로그램 사이트</t>
  </si>
  <si>
    <t>Progress</t>
  </si>
  <si>
    <t>진척율</t>
  </si>
  <si>
    <t>Progress by Months</t>
    <phoneticPr fontId="2" type="noConversion"/>
  </si>
  <si>
    <t>진척율(월별)</t>
    <phoneticPr fontId="2" type="noConversion"/>
  </si>
  <si>
    <t>Progress by Weeks</t>
    <phoneticPr fontId="2" type="noConversion"/>
  </si>
  <si>
    <t>진척율(주별)</t>
    <phoneticPr fontId="2" type="noConversion"/>
  </si>
  <si>
    <t>Progresses by Resources</t>
  </si>
  <si>
    <t>담당별\n진행율</t>
    <phoneticPr fontId="2" type="noConversion"/>
  </si>
  <si>
    <t>Project Execution Plan</t>
  </si>
  <si>
    <t>프로젝트수행계획서</t>
  </si>
  <si>
    <t>Project Information</t>
  </si>
  <si>
    <t>프로젝트 정보</t>
  </si>
  <si>
    <t>Project Name</t>
  </si>
  <si>
    <t>프로젝트명</t>
  </si>
  <si>
    <t>Project Progress - When managing schedule changes</t>
  </si>
  <si>
    <t>프로젝트 진척율 - 일정변경 관리할때</t>
    <phoneticPr fontId="2" type="noConversion"/>
  </si>
  <si>
    <t>Project Progress - When not managing schedule changes</t>
  </si>
  <si>
    <t>프로젝트 진척율 - 일정변경 관리하지 않을때</t>
    <phoneticPr fontId="2" type="noConversion"/>
  </si>
  <si>
    <t>Project Progresses by Months</t>
    <phoneticPr fontId="2" type="noConversion"/>
  </si>
  <si>
    <t>프로젝트 진척율(월별)</t>
    <phoneticPr fontId="2" type="noConversion"/>
  </si>
  <si>
    <t>Project Progresses by Weeks</t>
    <phoneticPr fontId="2" type="noConversion"/>
  </si>
  <si>
    <t>프로젝트 진척율(주별)</t>
    <phoneticPr fontId="2" type="noConversion"/>
  </si>
  <si>
    <t>Project Scheduler</t>
  </si>
  <si>
    <t>Provides you with analytical reports such as progress, workload, and workload data for tracking the status of your project.</t>
    <phoneticPr fontId="2" type="noConversion"/>
  </si>
  <si>
    <t>Purple</t>
    <phoneticPr fontId="2" type="noConversion"/>
  </si>
  <si>
    <t>퍼플</t>
    <phoneticPr fontId="2" type="noConversion"/>
  </si>
  <si>
    <t>Recalculate WBS area after import</t>
    <phoneticPr fontId="2" type="noConversion"/>
  </si>
  <si>
    <t>가져오기 후 WBS영역 재계산</t>
    <phoneticPr fontId="2" type="noConversion"/>
  </si>
  <si>
    <t>Reformatting</t>
  </si>
  <si>
    <t>서식\n재설정</t>
    <phoneticPr fontId="2" type="noConversion"/>
  </si>
  <si>
    <t>Regardless of the language setting in computer O/S, you can choose a language directly</t>
  </si>
  <si>
    <t>컴퓨터 O/S에 설정된 언어와 관계없이 사용자가 표시할 언어를 직접 선택할 수 _x000D_
있습니다.</t>
  </si>
  <si>
    <t>Release Date</t>
  </si>
  <si>
    <t>릴리즈 일자</t>
  </si>
  <si>
    <t>Resource Allocation Ratio</t>
    <phoneticPr fontId="2" type="noConversion"/>
  </si>
  <si>
    <t>자원배정비율</t>
    <phoneticPr fontId="2" type="noConversion"/>
  </si>
  <si>
    <t>Resource field.</t>
  </si>
  <si>
    <t>자원 필드입니다. 담당자, 리소스 등의 이름으로 불리기도 합니다. 해당 작업의 담당자를 표시합니다</t>
  </si>
  <si>
    <t>Resources</t>
    <phoneticPr fontId="2" type="noConversion"/>
  </si>
  <si>
    <t>Right of the chart</t>
  </si>
  <si>
    <t>Chart 오른쪽</t>
  </si>
  <si>
    <t xml:space="preserve">Rows of imported data : </t>
  </si>
  <si>
    <t xml:space="preserve">가져온 자료의 행수 : </t>
  </si>
  <si>
    <t>Run "Update Schedule"  When Saving XLGantt File</t>
  </si>
  <si>
    <t>File저장시 "스케줄업데이트" 실행</t>
    <phoneticPr fontId="2" type="noConversion"/>
  </si>
  <si>
    <t>Sat</t>
  </si>
  <si>
    <t>토</t>
  </si>
  <si>
    <t>Save</t>
  </si>
  <si>
    <t>저장</t>
  </si>
  <si>
    <t>Schedule change</t>
    <phoneticPr fontId="2" type="noConversion"/>
  </si>
  <si>
    <t>일정계획 변경관리</t>
  </si>
  <si>
    <t>Schedule Change Management</t>
  </si>
  <si>
    <t>Schedule update has been completed.</t>
  </si>
  <si>
    <t>스케줄업데이트 작업이 완료되었습니다.</t>
  </si>
  <si>
    <t>Schedule variance</t>
    <phoneticPr fontId="2" type="noConversion"/>
  </si>
  <si>
    <t>계획대비 실적 차이</t>
    <phoneticPr fontId="2" type="noConversion"/>
  </si>
  <si>
    <t>Schedule Variance(B-A)</t>
  </si>
  <si>
    <t>차이(B-A)</t>
  </si>
  <si>
    <t>Search for the tasks based on criteria.</t>
  </si>
  <si>
    <t>Select source files(Muliple Select)</t>
  </si>
  <si>
    <t>가져올 파일을 선택하세요(다중선택가능)</t>
  </si>
  <si>
    <t>Set "the earliest start date and the lastest fisnish date of the tasks" to the Project Start-Finish date.</t>
    <phoneticPr fontId="2" type="noConversion"/>
  </si>
  <si>
    <t>Task의 가장 빠른 시작일과 가장 늦은 완료일을 프로젝트 기간으로 자동설정</t>
  </si>
  <si>
    <t xml:space="preserve">Set path by the task name automatically\n(in this case, specify the upper path of automatically assigned path) </t>
  </si>
  <si>
    <t xml:space="preserve">작업명으로 경로 자동지정(이 경우 자동지정된 경로의 상위경로를 입력) </t>
  </si>
  <si>
    <t>Set program execution paths to open deliverables</t>
  </si>
  <si>
    <t>산출물열기 프로그램 실행경로 지정</t>
  </si>
  <si>
    <t>Set saving path of deliverables</t>
  </si>
  <si>
    <t>산출물 저장경로</t>
  </si>
  <si>
    <t>Sets nonworking days.</t>
    <phoneticPr fontId="2" type="noConversion"/>
  </si>
  <si>
    <t>프로젝트의 휴무일을 설정한다.</t>
  </si>
  <si>
    <t>Setting Gantt chart display style</t>
    <phoneticPr fontId="2" type="noConversion"/>
  </si>
  <si>
    <t>간트차트 표시방법 설정</t>
  </si>
  <si>
    <t>Settings</t>
  </si>
  <si>
    <t>설정</t>
  </si>
  <si>
    <t>Sheets</t>
    <phoneticPr fontId="2" type="noConversion"/>
  </si>
  <si>
    <t>시트 구성</t>
    <phoneticPr fontId="2" type="noConversion"/>
  </si>
  <si>
    <t>Shows you the progresses and workloads of the project by weeks, months, and resources.</t>
    <phoneticPr fontId="2" type="noConversion"/>
  </si>
  <si>
    <t>담당별 진행율, Workload등 분석용 Report를 만들어서 보여준다.</t>
  </si>
  <si>
    <t>Shows you the workloads, progresses, etc.</t>
    <phoneticPr fontId="2" type="noConversion"/>
  </si>
  <si>
    <t>작업량, 진척율 등을 볼 수 있다.</t>
  </si>
  <si>
    <t>Specific Date</t>
  </si>
  <si>
    <t>특정날짜</t>
  </si>
  <si>
    <t>Specific path</t>
  </si>
  <si>
    <t>특정 경로</t>
  </si>
  <si>
    <t>Specifies the save path of the deliverables and open the deliverables.</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</si>
  <si>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</si>
  <si>
    <t>Standard Calendar</t>
  </si>
  <si>
    <t>표준캘린더</t>
  </si>
  <si>
    <t>Star(*) marks-required fields</t>
    <phoneticPr fontId="2" type="noConversion"/>
  </si>
  <si>
    <t>별(*)표시는 필수입력</t>
    <phoneticPr fontId="2" type="noConversion"/>
  </si>
  <si>
    <t>Start</t>
  </si>
  <si>
    <t>Start Date</t>
  </si>
  <si>
    <t>시작일자</t>
  </si>
  <si>
    <t>Start date field of a task. It must be in date format.</t>
  </si>
  <si>
    <t>각 작업의 시작일을 표시합니다. 반드시 날짜 형식이어야 합니다.</t>
  </si>
  <si>
    <t>Start date is invalid.</t>
  </si>
  <si>
    <t>작업시작일의 날짜형식이 잘못되었습니다.</t>
  </si>
  <si>
    <t>Start date is invalid. Verify row {} of the source file.</t>
  </si>
  <si>
    <t>시작일자에 날짜가 아닌 값이 포함되어 있습니다. Import하는 파일의 {}행을 확인하세요.</t>
  </si>
  <si>
    <t>Started as planned</t>
    <phoneticPr fontId="2" type="noConversion"/>
  </si>
  <si>
    <t>계획과 같은 날짜에 시작됨</t>
    <phoneticPr fontId="2" type="noConversion"/>
  </si>
  <si>
    <t>Started earlier than planned</t>
    <phoneticPr fontId="2" type="noConversion"/>
  </si>
  <si>
    <t>계획보다 일찍 시작됨</t>
    <phoneticPr fontId="2" type="noConversion"/>
  </si>
  <si>
    <t>Started later than planned</t>
    <phoneticPr fontId="2" type="noConversion"/>
  </si>
  <si>
    <t>계획보다 늦게 시작됨</t>
    <phoneticPr fontId="2" type="noConversion"/>
  </si>
  <si>
    <t>Start-Finish</t>
  </si>
  <si>
    <t>시작일-완료일</t>
  </si>
  <si>
    <t>Successfully imported.</t>
    <phoneticPr fontId="2" type="noConversion"/>
  </si>
  <si>
    <t>가져오기가 정상적으로 완료되었습니다.</t>
    <phoneticPr fontId="2" type="noConversion"/>
  </si>
  <si>
    <t>Sun</t>
  </si>
  <si>
    <t>일</t>
  </si>
  <si>
    <t>System 1</t>
    <phoneticPr fontId="2" type="noConversion"/>
  </si>
  <si>
    <t>체계 1</t>
    <phoneticPr fontId="2" type="noConversion"/>
  </si>
  <si>
    <t>System 2</t>
    <phoneticPr fontId="2" type="noConversion"/>
  </si>
  <si>
    <t>체계 2</t>
  </si>
  <si>
    <t>Task</t>
  </si>
  <si>
    <t>작업</t>
    <phoneticPr fontId="2" type="noConversion"/>
  </si>
  <si>
    <t>Task area was not selected. Please select a task area.</t>
  </si>
  <si>
    <t>작업영역이 선택되지 않았습니다. 영역을 선택하세요.</t>
  </si>
  <si>
    <t>Enter tasks, Update schedule</t>
    <phoneticPr fontId="2" type="noConversion"/>
  </si>
  <si>
    <t>작업입력, 스케줄 업데이트</t>
  </si>
  <si>
    <t>Task Name</t>
  </si>
  <si>
    <t>작업명</t>
  </si>
  <si>
    <t>Task name field.It's also referred to as "Work" or "Activity" or etc.</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</si>
  <si>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</si>
  <si>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Task(Task name or Name) is missing.</t>
  </si>
  <si>
    <t>Task(작업명, 이름 등)는 반드시 입력되어야 합니다.</t>
  </si>
  <si>
    <t>The "%Work Complete" column has been deleted. Please retry after changing the sheet to its previous state.</t>
  </si>
  <si>
    <t>실적진척율 열이 삭제되었습니다. 원래대로 복구한 후 작업하세요.</t>
  </si>
  <si>
    <t>The "%Work Complete" of row number {1} in the {2} sheet is not a number.</t>
  </si>
  <si>
    <t>{2} sheet의 {1}행의 실적진척율이 숫자가 아닙니다.</t>
  </si>
  <si>
    <t>The "Actual Finish Date" column has been deleted. Please retry after changing the sheet to its previous state.</t>
  </si>
  <si>
    <t>실제완료일 열이 삭제되었습니다. 원래대로 복구한 후 작업하세요.</t>
  </si>
  <si>
    <t>The "Actual Start Date" column has been deleted. Please retry after changing the sheet to its previous state.</t>
  </si>
  <si>
    <t>실제시작일 열이 삭제되었습니다. 원래대로 복구한 후 작업하세요.</t>
  </si>
  <si>
    <t>The "Actual Total Duration" column has been deleted. Please retry after changing the sheet to its previous state.</t>
  </si>
  <si>
    <t>실제총기간 열이 삭제되었습니다. 원래대로 복구한 후 작업하세요.</t>
  </si>
  <si>
    <t>The "Actual Total Work" column has been deleted. Please retry after changing the sheet to its previous state.</t>
  </si>
  <si>
    <t>실제총작업량 열이 삭제되었습니다. 원래대로 복구한 후 작업하세요.</t>
  </si>
  <si>
    <t>The "Calendar" column has been deleted. Please retry after changing the sheet to its previous state.</t>
  </si>
  <si>
    <t>Calendar 열이 삭제되었습니다. 원래대로 복구한 후 작업하세요.</t>
  </si>
  <si>
    <t>The "Deliverables" column has been deleted. Please retry after changing the sheet to its previous state.</t>
  </si>
  <si>
    <t>산출물 열이 삭제되었습니다. 원래대로 복구한 후 작업하세요.</t>
  </si>
  <si>
    <t>The "Finish Date" column has been deleted. Please retry after changing the sheet to its previous state.</t>
  </si>
  <si>
    <t>완료일 열이 삭제되었습니다. 원래대로 복구한 후 작업하세요.</t>
  </si>
  <si>
    <t>The "Note" column has been deleted. Please retry after changing the sheet to its previous state.</t>
  </si>
  <si>
    <t>비고 열이 삭제되었습니다. 원래대로 복구한 후 작업하세요.</t>
  </si>
  <si>
    <t>The "Planned %Work Complete" column has been deleted. Please retry after changing the sheet to its previous state.</t>
  </si>
  <si>
    <t>계획진척율 열이 삭제되었습니다. 원래대로 복구한 후 작업하세요.</t>
  </si>
  <si>
    <t>The "Planned Duration" column has been deleted. Please retry after changing the sheet to its previous state.</t>
  </si>
  <si>
    <t>계획기간 열이 삭제되었습니다. 원래대로 복구한 후 작업하세요.</t>
  </si>
  <si>
    <t>The "Planned Work" column has been deleted. Please retry after changing the sheet to its previous state.</t>
  </si>
  <si>
    <t>계획작업량 열이 삭제되었습니다. 원래대로 복구한 후 작업하세요.</t>
  </si>
  <si>
    <t>The "Resources" column has been deleted. Please retry after changing the sheet to its previous state.</t>
  </si>
  <si>
    <t>담당 열이 삭제되었습니다. 원래대로 복구한 후 작업하세요.</t>
  </si>
  <si>
    <t>The "Start Date" column has been deleted. Please retry after changing the sheet to its previous state.</t>
  </si>
  <si>
    <t>시작일 열이 삭제되었습니다. 원래대로 복구한 후 작업하세요.</t>
  </si>
  <si>
    <t>The "Task" column has been deleted. Please retry after changing the sheet to its previous state.</t>
  </si>
  <si>
    <t>작업 열이 삭제되었습니다. 원래대로 복구한 후 작업하세요.</t>
  </si>
  <si>
    <t>The "Total Duration" column has been deleted. Please retry after changing the sheet to its previous state.</t>
  </si>
  <si>
    <t>총기간 열이 삭제되었습니다. 원래대로 복구한 후 작업하세요.</t>
  </si>
  <si>
    <t>The "Total Work" column has been deleted. Please retry after changing the sheet to its previous state.</t>
  </si>
  <si>
    <t>총작업량 열이 삭제되었습니다. 원래대로 복구한 후 작업하세요.</t>
  </si>
  <si>
    <t>The "WBS Level" column has been deleted. Please retry after changing the sheet to its previous state.</t>
  </si>
  <si>
    <t>WBS Level 열이 삭제되었습니다. 원래대로 복구한 후 작업하세요.</t>
  </si>
  <si>
    <t>The "WBS" column has been deleted. Please retry after changing the sheet to its previous state.</t>
  </si>
  <si>
    <t>WBS 열이 삭제되었습니다. 원래대로 복구한 후 작업하세요.</t>
  </si>
  <si>
    <t>The "Weight" column has been deleted. Please retry after changing the sheet to its previous state.</t>
  </si>
  <si>
    <t>가중치 열이 삭제되었습니다. 원래대로 복구한 후 작업하세요.</t>
  </si>
  <si>
    <t>The {} sheet does not exist. Please check that you changed or deleted the sheet.</t>
  </si>
  <si>
    <t>{} sheet가 존재하지 않습니다. 이름을 변경하거나 삭제했는지 확인하세요.</t>
  </si>
  <si>
    <t>The {} sheet does not exist. Please check that you have changed or deleted the sheet.</t>
  </si>
  <si>
    <t>The actual finish date format of row number {1} in the {2} sheet is invalid.</t>
  </si>
  <si>
    <t>{2} sheet의 {1}행의 실제완료일이 날짜형식이 아닙니다. 정확한 날짜형식으로 입력하세요.</t>
  </si>
  <si>
    <t>The actual finish date of the row number {1} in the {2} sheet was entered, but the actual start date is empty.</t>
  </si>
  <si>
    <t>{2} sheet의 {1}행의 실제시작일이 비어있고 실제완료일만 입력되어 있습니다.</t>
  </si>
  <si>
    <t>The actual start date format of row number {1} in the {2} sheet is invalid.</t>
  </si>
  <si>
    <t>{2} sheet의 {1}행의 실제시작일이 날짜형식이 아닙니다. 정확한 날짜형식으로 입력하세요.</t>
  </si>
  <si>
    <t>The actual start date of row number {1} in the {2} sheet is later than the actual finish date.</t>
  </si>
  <si>
    <t>{2} sheet의 {1}행의 실제시작일이 실제완료일보다 큽니다.</t>
  </si>
  <si>
    <t>The actual start date of row number {1} in the {2} sheet is out of the project duration.</t>
  </si>
  <si>
    <t>{2} sheet의 {1}행의 실제 시작일이 프로젝트 기간을 벗어났습니다.</t>
  </si>
  <si>
    <t>The actual start or finish date of row number {1} in the {2} sheet is out of the project duration.</t>
  </si>
  <si>
    <t>{2} sheet의 {1}행의 실젝 시작일 또는 완료일이 프로젝트 기간을 벗어났습니다.</t>
  </si>
  <si>
    <t>The count of level</t>
  </si>
  <si>
    <t>Level의 갯수</t>
  </si>
  <si>
    <t>The date field of row number {1} in the {2} sheet was entered, but the task field is empty.\nEnter a value in the task field or clear the date field.</t>
  </si>
  <si>
    <t>{2} sheet의 {1}행의 날짜는 입력되었는데 작업필드가 비어있습니다.\n작업필드의 값을 채우거나 날짜를 지우세요.</t>
  </si>
  <si>
    <t>The deliverables name is empty.</t>
  </si>
  <si>
    <t>산출물명이 비어있습니다.</t>
  </si>
  <si>
    <t>The earliest start date({1}) of the tasks is earlier than the start date({2}) of the project.\n\nIn this case, there may be problems with resource calculations. Please change the start date to valid date.</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</si>
  <si>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</si>
  <si>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The finish date format of row number {1} in the {2} sheet is invalid.</t>
  </si>
  <si>
    <t>{2} sheet의 {1}행의 완료일이 날짜형식이 아닙니다. 정확한 날짜형식으로 입력하세요.</t>
  </si>
  <si>
    <t>The first column of Gantt area has been deleted. Please retry after changing the sheet to its previous state.</t>
  </si>
  <si>
    <t>Gantt영역의 첫번째 열이 삭제되었습니다. 원래대로 복구한 후 작업하세요.</t>
  </si>
  <si>
    <t>The following file formats are not supported. You can import files with version 0.9.7 or higher than 0.9.7.</t>
  </si>
  <si>
    <t>다음 파일은 지원하지 않는 형식입니다. XLGantt Version 0.9.7 이상 버전만 지원합니다.</t>
  </si>
  <si>
    <t>The following file formats are not supported. You can import the files if the version is 0.9.7 or higher than 0.9.7.</t>
  </si>
  <si>
    <t>다음의 XLGantt파일은 지원하지 않는 버전입니다. Version 0.9.7 이상 버전만 지원합니다.</t>
  </si>
  <si>
    <t>The following files have been successfully imported.</t>
  </si>
  <si>
    <t>다음 파일을 성공적으로 가져왔습니다.</t>
  </si>
  <si>
    <t>The following folder does not exist.</t>
  </si>
  <si>
    <t>다음의 폴더가 존재하지 않습니다.</t>
  </si>
  <si>
    <t>The format of "Calculation Base Date of Planned %Work Complete" is invalid.</t>
  </si>
  <si>
    <t>계획진척율 계산 기준일자의 날짜형식이 잘못되었습니다.</t>
  </si>
  <si>
    <t>The format of the project finish date is invalid.</t>
  </si>
  <si>
    <t>프로젝트 완료일의 날짜형식이 잘못되었습니다.</t>
  </si>
  <si>
    <t>The format of the project start date is invalid.</t>
  </si>
  <si>
    <t>프로젝트 시작일의 날짜형식이 잘못되었습니다.</t>
  </si>
  <si>
    <t>The job was not completed successfully.</t>
  </si>
  <si>
    <t>작업이 정상적으로 완료되지 않았습니다.</t>
  </si>
  <si>
    <t>The kind of period is invalid. You must enter one of the M(Months) or W(Weeks)</t>
  </si>
  <si>
    <t>기간의 종류가 잘못되었습니다. W(주), M(월) 중에 하나를 입력해야 합니다</t>
  </si>
  <si>
    <t>The language setting has been changed.\nPress the OK button to start translation. \nIt may take a long time to translate.\nHowever, translation of Ribbon menu and Popup menu takes effect after reopening this XLGantt file.</t>
    <phoneticPr fontId="4" type="noConversion"/>
  </si>
  <si>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</si>
  <si>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The latest finish date({1}) of the tasks is later than the finish date({2}) of the project.\n\nIn this case, there may be problems with resource calculations. Please change the finish date to valid date.</t>
  </si>
  <si>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</si>
  <si>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The level of row {} is invalid.</t>
  </si>
  <si>
    <t>{} 행의 Level이 맞지 않습니다. Level을 1보다 크게 증가했는지 확인하세요.</t>
  </si>
  <si>
    <t>The number of Level must be less than or equal to {}</t>
  </si>
  <si>
    <t>Level의 갯수는 {}개까지만 가능합니다.</t>
  </si>
  <si>
    <t>The number of Level must be positive integer.</t>
  </si>
  <si>
    <t>Level의 갯수는 양의 정수만 가능합니다.</t>
  </si>
  <si>
    <t>The number of task columns is not 10. Please retry after changing the sheet to its previous state.</t>
    <phoneticPr fontId="2" type="noConversion"/>
  </si>
  <si>
    <t>Task열의 갯수가 10개가 아닙니다. 원래대로 복구한 후 작업하세요.</t>
    <phoneticPr fontId="2" type="noConversion"/>
  </si>
  <si>
    <t>The process was terminated due to the {} sheet error.</t>
  </si>
  <si>
    <t>{} sheet의 에러로 인해 작업이 중단되었습니다.</t>
  </si>
  <si>
    <t>The project finish date({}) you entered is not valid date format.</t>
  </si>
  <si>
    <t>입력한 프로젝트 기간의 완료일({})이 날짜형식이 아닙니다.</t>
  </si>
  <si>
    <t>The project start date({}) you entered is not valid date format.</t>
  </si>
  <si>
    <t>입력한 프로젝트 기간의 시작일({})이 날짜형식이 아닙니다</t>
  </si>
  <si>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</si>
  <si>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</si>
  <si>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</si>
  <si>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</si>
  <si>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The start date format of row number {1} in the {2} sheet is invalid.</t>
  </si>
  <si>
    <t>{2} sheet의 {1}행의 시작일이 날짜형식이 아닙니다. 정확한 날짜형식으로 입력하세요.</t>
  </si>
  <si>
    <t>The start date is later than the finish date.</t>
  </si>
  <si>
    <t>시작일이 완료일보다 큽니다.</t>
  </si>
  <si>
    <t>The start date of row number {1} in the {2} sheet is later than the finish date.</t>
  </si>
  <si>
    <t>{2} sheet의 {1}행의 시작일이 완료일보다 큽니다.</t>
  </si>
  <si>
    <t>The start or finish date of row number {1} in the {2} sheet is out of the project duration.</t>
  </si>
  <si>
    <t>{2} sheet의 {1}행의 시작일 또는 완료일이 프로젝트 기간을 벗어났습니다.</t>
  </si>
  <si>
    <t>The task of the first row of the {} sheet is not level 1.</t>
  </si>
  <si>
    <t>{} sheet 첫행의 작업이 1 Level이 아닙니다. 첫행의 작업이 첫째칸이 아닌 다른 칸에 입력되었는지 확인하세요.</t>
  </si>
  <si>
    <t>The type of task fields</t>
  </si>
  <si>
    <t>Task필드 유형</t>
  </si>
  <si>
    <t>The week containing January 1 is the first week of the year.</t>
    <phoneticPr fontId="2" type="noConversion"/>
  </si>
  <si>
    <t>1월 1일을 포함하는 주가 년도의 첫주가 되는 방식</t>
    <phoneticPr fontId="2" type="noConversion"/>
  </si>
  <si>
    <t>The week containing the first Thursday of the year is the first week of the year(ISO 8601 Standard).</t>
    <phoneticPr fontId="2" type="noConversion"/>
  </si>
  <si>
    <t>한주의 시작은 월요일이며 년도의 첫번째 목요일을 포함하는 주가 첫주가 되는 방식(ISO 8601 표준)</t>
    <phoneticPr fontId="2" type="noConversion"/>
  </si>
  <si>
    <t>The weight of row number {1} in the {2} sheet is not a number.</t>
  </si>
  <si>
    <t>{2} sheet의 {1}행의 가중치가 숫자가 아닙니다.</t>
  </si>
  <si>
    <t>There are no executable programs that open the deliverables.</t>
  </si>
  <si>
    <t>입력한 산출물을 열 수 있는 실행프로그램이 없습니다.</t>
  </si>
  <si>
    <t>There is an error in the total workload or planned workload field of row number {1} in the {2} sheet. Please check that the start / finish date was entered correctly, or that the formula is correct.</t>
  </si>
  <si>
    <t>{2} sheet의 {1}행의 총작업량 또는계획작업량 필드에 오류가 있습니다. 시작일/완료일이 잘못 입력되었는지 또는 수식에 문제가 없는지 확인하세요.</t>
  </si>
  <si>
    <t>There is no data in the following files</t>
  </si>
  <si>
    <t>다음 파일에 자료가 없습니다.</t>
  </si>
  <si>
    <t>There is no input data</t>
  </si>
  <si>
    <t>입력된 자료가 없습니다</t>
  </si>
  <si>
    <t>There is no input data that will be calculated.</t>
  </si>
  <si>
    <t>계산할 입력자료가 없습니다.</t>
  </si>
  <si>
    <t>There is no input data.</t>
  </si>
  <si>
    <t>입력된 자료가 없습니다.</t>
  </si>
  <si>
    <t>There is no input data. Please enter after reformatting.</t>
  </si>
  <si>
    <t>입력된 자료가 없습니다. 입력 후 서식재설정 해 주세요.</t>
  </si>
  <si>
    <t>There was an error in "Progress Line" drawing. This can happen if the actual start date or actual finish date is beyond the project period. Check the message below.</t>
  </si>
  <si>
    <t>진척율선 그리기 작업 중 에러가 발생했습니다. 실제시작일 또는 실제완료일이 프로젝트 기간을 벗어난 경우에 발생할 수 있습니다. 아래의 메시지를 확인하십시오.</t>
  </si>
  <si>
    <t>This area can not be selected. Please select an area that contains tasks.</t>
  </si>
  <si>
    <t>선택할 수 없는 영역입니다. 작업명이 입력된 행을 선택하세요.</t>
  </si>
  <si>
    <t>This Month only</t>
  </si>
  <si>
    <t>이번 달 작업만 조회</t>
  </si>
  <si>
    <t>This Week only</t>
  </si>
  <si>
    <t>이번 주 작업만 조회</t>
  </si>
  <si>
    <t>This XLGantt is not the latest version. Download the latest version from the following site.</t>
  </si>
  <si>
    <t>지금 사용하고 계신 XLGantt는 최신버전이 아닙니다.\n_x000D_
최신버전을 아래의 사이트에서 다운로드 받으세요.</t>
  </si>
  <si>
    <t>Thu</t>
  </si>
  <si>
    <t>목</t>
  </si>
  <si>
    <t>Time bucket type is invalid.</t>
  </si>
  <si>
    <t>Time bucket type 오류입니다.</t>
  </si>
  <si>
    <t>Title above Gantt chart</t>
    <phoneticPr fontId="2" type="noConversion"/>
  </si>
  <si>
    <t>간트차트 위의 타이틀</t>
    <phoneticPr fontId="2" type="noConversion"/>
  </si>
  <si>
    <t>Title above WBS</t>
    <phoneticPr fontId="2" type="noConversion"/>
  </si>
  <si>
    <t>WBS영역 위의 타이틀</t>
    <phoneticPr fontId="2" type="noConversion"/>
  </si>
  <si>
    <t>To (XLGantt)</t>
  </si>
  <si>
    <t>Target파일(가져온 후 파일)</t>
  </si>
  <si>
    <t>To Date is invalid.</t>
  </si>
  <si>
    <t>끝날짜 형식이 잘못되었습니다.</t>
  </si>
  <si>
    <t>To import files from source to the target file, map the respective fields.\nSelect a field in source file first and then find a corresponding field in the target file.</t>
  </si>
  <si>
    <t>Source파일에서 Target파일로 가져오기 위해서 각각의 필드를 Mapping합니다. _x000D_
Source파일의 필드를 먼저 선택하고 해당되는 필드를 Targe파일에서 찾아서 Mapping합니다.</t>
  </si>
  <si>
    <t>Today</t>
  </si>
  <si>
    <t>오늘</t>
  </si>
  <si>
    <t>Today only</t>
  </si>
  <si>
    <t>오늘 작업만 조회</t>
  </si>
  <si>
    <t>Total Duration</t>
  </si>
  <si>
    <t>총기간</t>
  </si>
  <si>
    <t>Total Work</t>
  </si>
  <si>
    <t>총작업량</t>
  </si>
  <si>
    <t>Total Work(A)\nMan-day</t>
  </si>
  <si>
    <t>총작업량(A)\nMan-day</t>
  </si>
  <si>
    <t>Total Work\n(Total ManDay)</t>
  </si>
  <si>
    <t>총 작업량_x000D_
(총ManDay,_x000D_
가중치 감안)</t>
  </si>
  <si>
    <t>Total workload of the project</t>
  </si>
  <si>
    <t>프로젝트 전체 작업량</t>
  </si>
  <si>
    <t>Total__Duration</t>
    <phoneticPr fontId="4" type="noConversion"/>
  </si>
  <si>
    <t>총__기간</t>
    <phoneticPr fontId="4" type="noConversion"/>
  </si>
  <si>
    <t>Total__Work</t>
    <phoneticPr fontId="4" type="noConversion"/>
  </si>
  <si>
    <t>총__작업량</t>
    <phoneticPr fontId="4" type="noConversion"/>
  </si>
  <si>
    <t>Total\nDuration</t>
  </si>
  <si>
    <t>총\n기간</t>
  </si>
  <si>
    <t>Total\nWork</t>
  </si>
  <si>
    <t>총\n작업량</t>
  </si>
  <si>
    <t>Tue</t>
  </si>
  <si>
    <t>화</t>
  </si>
  <si>
    <t>Type a number between 0% and 100% in "%Work Complete" field of row number {1} in the {2} sheet.</t>
  </si>
  <si>
    <t>{2} sheet의 {1}행의 실적진척율을 0~100% 범위로 입력해주세요.</t>
  </si>
  <si>
    <t>UI Design</t>
  </si>
  <si>
    <t>화면설계</t>
  </si>
  <si>
    <t>Unable to open file. Please change the "Check if you save deliverables in specific directory" option to the checked state in the Setting&gt;Deliverables tab.</t>
  </si>
  <si>
    <t>파일을 열수 없습니다. 환경설정&gt;산출물관리 탭에서 "산출물 관리를 할 경우에 체크하세요" 옵션을 체크상태로 변경해 주세요.</t>
  </si>
  <si>
    <t>Update Schedule</t>
  </si>
  <si>
    <t>스케줄\n업데이트</t>
    <phoneticPr fontId="2" type="noConversion"/>
  </si>
  <si>
    <t>Updates</t>
  </si>
  <si>
    <t>업데이트 내용</t>
  </si>
  <si>
    <t>Updating schedule... \nplease wait...</t>
  </si>
  <si>
    <t>스케줄업데이트 중입니다...\n잠시만 기다려 주세요...</t>
  </si>
  <si>
    <t>User Defined Calendar 1</t>
  </si>
  <si>
    <t>사용자정의 캘린더1</t>
  </si>
  <si>
    <t>User Defined Calendar 2</t>
  </si>
  <si>
    <t>사용자정의 캘린더2</t>
  </si>
  <si>
    <t>Variance(Actual-Planned)</t>
  </si>
  <si>
    <t>WBS Area Display</t>
  </si>
  <si>
    <t>WBS영역 표시방법</t>
  </si>
  <si>
    <t>WBS Level is invalid. Enter a number only. Verify row {} of the source file.</t>
  </si>
  <si>
    <t>WBS Level(개요번호)에 숫자가 아닌 값이 포함되어 있습니다. Import하는 파일의 {}행을 확인하세요.</t>
  </si>
  <si>
    <t>WBS No.</t>
  </si>
  <si>
    <t>WBS title - auto calculated field</t>
    <phoneticPr fontId="2" type="noConversion"/>
  </si>
  <si>
    <t>WBS 타이틀 - 자동계산필드</t>
    <phoneticPr fontId="2" type="noConversion"/>
  </si>
  <si>
    <t>WBS title - input field</t>
    <phoneticPr fontId="2" type="noConversion"/>
  </si>
  <si>
    <t>WBS 타이틀 - 입력필드</t>
    <phoneticPr fontId="2" type="noConversion"/>
  </si>
  <si>
    <t>WBS,Gantt Chart</t>
  </si>
  <si>
    <t>Wed</t>
  </si>
  <si>
    <t>수</t>
  </si>
  <si>
    <t>Week Numbers Display</t>
    <phoneticPr fontId="2" type="noConversion"/>
  </si>
  <si>
    <t>주차 표시방식</t>
    <phoneticPr fontId="2" type="noConversion"/>
  </si>
  <si>
    <t>Weekly</t>
  </si>
  <si>
    <t>주별</t>
  </si>
  <si>
    <t>Weekly view</t>
  </si>
  <si>
    <t>주별보기</t>
  </si>
  <si>
    <t>Weeks</t>
  </si>
  <si>
    <t>Weight</t>
  </si>
  <si>
    <t>Weight is invalid.</t>
  </si>
  <si>
    <t>가중치의 숫자형식이 잘못되었습니다.</t>
  </si>
  <si>
    <t>Weight must be greater than zero.</t>
  </si>
  <si>
    <t>가중치는 0보다 커야 합니다.</t>
  </si>
  <si>
    <t>When managing schedule changes</t>
    <phoneticPr fontId="2" type="noConversion"/>
  </si>
  <si>
    <t>일정변경 관리할 때</t>
    <phoneticPr fontId="2" type="noConversion"/>
  </si>
  <si>
    <t>When not managing schedule changes</t>
    <phoneticPr fontId="2" type="noConversion"/>
  </si>
  <si>
    <t>일정변경 관리 안할 때</t>
    <phoneticPr fontId="2" type="noConversion"/>
  </si>
  <si>
    <t>When you enter a task and a schedule, the progress rate is calculated and the schedule of the task is displayed as a gantt chart.</t>
    <phoneticPr fontId="2" type="noConversion"/>
  </si>
  <si>
    <t>When you enter task names, start and finish dates, and %work complete values, XLGantt automatically calculates the tasks durations, planned %work complete values.</t>
    <phoneticPr fontId="2" type="noConversion"/>
  </si>
  <si>
    <t>작업명, 시작일, 완료일, 진척율을 입력하면 휴무일, 가중치를 고려하여 자동으로 작업기간, 계획진척율, 실적진척율 등이 계산된다.</t>
  </si>
  <si>
    <t>Word</t>
  </si>
  <si>
    <t>워드</t>
  </si>
  <si>
    <t>Workload Calculation</t>
    <phoneticPr fontId="2" type="noConversion"/>
  </si>
  <si>
    <t>작업량 계산</t>
    <phoneticPr fontId="2" type="noConversion"/>
  </si>
  <si>
    <t>Workload Data</t>
    <phoneticPr fontId="2" type="noConversion"/>
  </si>
  <si>
    <t>Workload\n(Man-Day)</t>
  </si>
  <si>
    <t>Workload\n(Man-Month)</t>
  </si>
  <si>
    <t>Workloads</t>
    <phoneticPr fontId="2" type="noConversion"/>
  </si>
  <si>
    <t>Workloads by {}</t>
  </si>
  <si>
    <t>Workload현황({})</t>
  </si>
  <si>
    <t>Workloads by Months</t>
  </si>
  <si>
    <t>Workload(월별)</t>
  </si>
  <si>
    <t>Workloads by Resouces</t>
  </si>
  <si>
    <t>Workload(담당별)</t>
  </si>
  <si>
    <t>Workloads by Weeks</t>
  </si>
  <si>
    <t>Workload(주별)</t>
  </si>
  <si>
    <t>Worloads by Resources</t>
  </si>
  <si>
    <t>Would you like to update the schedule before saving?</t>
    <phoneticPr fontId="4" type="noConversion"/>
  </si>
  <si>
    <t>저장하기 전에 스케줄을 업데이트하시겠습니까?\n\n[스케줄업데이트]메뉴를 클릭할 때와 동일한 작업을 수행합니다.</t>
    <phoneticPr fontId="4" type="noConversion"/>
  </si>
  <si>
    <t>XLGantt  - Project Scheduler</t>
    <phoneticPr fontId="2" type="noConversion"/>
  </si>
  <si>
    <t>엑셀간트(XLGantt) - 엑셀 일정관리</t>
    <phoneticPr fontId="2" type="noConversion"/>
  </si>
  <si>
    <t>XLGantt Version {} Terms of Use</t>
    <phoneticPr fontId="2" type="noConversion"/>
  </si>
  <si>
    <t>XLGantt Version {} 사용조건</t>
    <phoneticPr fontId="2" type="noConversion"/>
  </si>
  <si>
    <t>XLGantt Version Check</t>
  </si>
  <si>
    <t>You are using the latest version of XLGantt.\nCurrent Verison : {}</t>
  </si>
  <si>
    <t>사용하고 계신 XLGantt는 최신 버전입니다.\n현재 버전 : {}</t>
  </si>
  <si>
    <t>You can add "Outlook Appointments" only on the {} sheet.</t>
  </si>
  <si>
    <t>{} Sheet에서만 Outlook일정을 등록할 수 있습니다.</t>
  </si>
  <si>
    <t>You can add "Outlook Tasks" only on the {} sheet.</t>
  </si>
  <si>
    <t>{} Sheet에서만 Outlook작업을 등록할 수 있습니다.</t>
  </si>
  <si>
    <t>You can click the "Options" button on the ribbon to customize a Gantt chart style.</t>
    <phoneticPr fontId="2" type="noConversion"/>
  </si>
  <si>
    <t>Bar chart형태로 간트차트를 보여주며 여러 가지 표시방법을 옵션에서 설정할 수 있다.</t>
  </si>
  <si>
    <t>You can edit task only on the {} sheet.</t>
  </si>
  <si>
    <t>{} Sheet에서만 작업을 편집할 수 있습니다.</t>
  </si>
  <si>
    <t>You can include the formulas and functions of the Excel in XLGantt.</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</si>
  <si>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</si>
  <si>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You can indent or outdent tasks only on the {} sheet.</t>
  </si>
  <si>
    <t>{} Sheet에서만 작업가능합니다.</t>
  </si>
  <si>
    <t>You can not add "Outlook Appointments" in the selected area.</t>
  </si>
  <si>
    <t>선택한 위치에서는 작업할 수 없습니다.</t>
  </si>
  <si>
    <t>You can not add "Outlook Tasks" in the selected area.</t>
  </si>
  <si>
    <t>선택한 위치에서는 Outlook작업을 등록할 수 없습니다.</t>
  </si>
  <si>
    <t>You can not add a column between column A and C because the range is reserved by XLGantt.</t>
  </si>
  <si>
    <t>A열부터 C열까지는 XLGantt프로그램에서 사용하는 영역이므로 임의로 열을 추가할 수 없습니다.</t>
  </si>
  <si>
    <t>You can not edit a task in the selected area.</t>
  </si>
  <si>
    <t>You can not enter any more.</t>
  </si>
  <si>
    <t>더 이상 입력불가</t>
  </si>
  <si>
    <t>You can not indent any more!</t>
  </si>
  <si>
    <t>더 이상 오른쪽으로 이동할 수 없습니다!</t>
  </si>
  <si>
    <t>You can not indent or outdent the selected row.</t>
  </si>
  <si>
    <t>선택한 위치에서는 이동할 수 없습니다.</t>
  </si>
  <si>
    <t>You can not outdent any more!</t>
  </si>
  <si>
    <t>더 이상 왼쪽으로 이동할 수 없습니다!</t>
  </si>
  <si>
    <t>You can not use "Microsoft Outlook". \nMake sure you properly installed it.</t>
  </si>
  <si>
    <t>Microsoft Outlook을 사용할 수 없습니다.\n정상적으로 설치되어 있는지 확인하세요.</t>
  </si>
  <si>
    <t>You can open deliverables only on the {} Sheet.</t>
  </si>
  <si>
    <t>You can use %work complete to keep track of the progress of the project.</t>
    <phoneticPr fontId="2" type="noConversion"/>
  </si>
  <si>
    <t>진척율을 이용하여 프로젝트 전체 진행상황을 파악할 수 있다.</t>
  </si>
  <si>
    <t>You can use only start and finish dates. So you can not manage schedule changes.</t>
  </si>
  <si>
    <t xml:space="preserve">일정을 관리할 때 작업 시작일/완료일만 사용합니다. 변경된 일정은 관리하지 않습니다. 일정이 변경되었을 때는 시작일과 완료일을 변경합니다.  </t>
  </si>
  <si>
    <t xml:space="preserve">You can use start and finish dates, actual start and finish dates. You can identify the schedule is delayed or aheaded by entering actual start and finish dates.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</si>
  <si>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</si>
  <si>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You can't choose a field that is empty.</t>
  </si>
  <si>
    <t>필드명이 비어있는 항목은 선택할 수 없습니다.</t>
  </si>
  <si>
    <t>You can't import an Excel Macro file. Please import after saving it as an xls or xlsx file. If it is an XLGantt file, you can import it at the menu "Import files created in XLGantt"</t>
  </si>
  <si>
    <t>엑셀매크로 파일은 가져오기를 할 수 없습니다. xls 또는 xlsx파일로 저장하여 작업하시기 바랍니다. 만약 XLGantt파일인 경우에는 "XLGantt로 작성된 파일 가져오기"에서 작업 가능합니다</t>
  </si>
  <si>
    <t>You can't remove the default languages(English and Korean).</t>
  </si>
  <si>
    <t>기본언어인 English와 Korean은 삭제할 수 없습니다.</t>
  </si>
  <si>
    <t>You didn't choose a language.</t>
  </si>
  <si>
    <t>언어가 선택되지 않았습니다.</t>
  </si>
  <si>
    <t>You didn't choose a source field.</t>
  </si>
  <si>
    <t>Source항목이 선택되지 않았습니다.</t>
  </si>
  <si>
    <t>You didn't choose a target field.</t>
  </si>
  <si>
    <t>Target항목이 선택되지 않았습니다.</t>
  </si>
  <si>
    <t>You didn't choose an unmap item.</t>
  </si>
  <si>
    <t>Mapping취소항목이 선택되지 않았습니다.</t>
  </si>
  <si>
    <t>You selected {} areas. Please select only one area.</t>
  </si>
  <si>
    <t>한곳만 선택하세요. 현재 {}곳이 선택되었습니다.</t>
  </si>
  <si>
    <t>Date</t>
    <phoneticPr fontId="2" type="noConversion"/>
  </si>
  <si>
    <t>날짜</t>
    <phoneticPr fontId="2" type="noConversion"/>
  </si>
  <si>
    <t>Day</t>
    <phoneticPr fontId="2" type="noConversion"/>
  </si>
  <si>
    <t>요일</t>
    <phoneticPr fontId="2" type="noConversion"/>
  </si>
  <si>
    <t>Display date or day on the timescale</t>
    <phoneticPr fontId="2" type="noConversion"/>
  </si>
  <si>
    <t>간트차트 눈금에 날짜/요일 표시방법</t>
    <phoneticPr fontId="2" type="noConversion"/>
  </si>
  <si>
    <t>Align WBS Column</t>
    <phoneticPr fontId="2" type="noConversion"/>
  </si>
  <si>
    <t>WBS열 정렬</t>
    <phoneticPr fontId="2" type="noConversion"/>
  </si>
  <si>
    <t>Left</t>
    <phoneticPr fontId="2" type="noConversion"/>
  </si>
  <si>
    <t>왼쪽</t>
    <phoneticPr fontId="2" type="noConversion"/>
  </si>
  <si>
    <t>Center</t>
    <phoneticPr fontId="2" type="noConversion"/>
  </si>
  <si>
    <t>가운데</t>
    <phoneticPr fontId="2" type="noConversion"/>
  </si>
  <si>
    <t>Right</t>
    <phoneticPr fontId="2" type="noConversion"/>
  </si>
  <si>
    <t>오른쪽</t>
    <phoneticPr fontId="2" type="noConversion"/>
  </si>
  <si>
    <t>The same field name exists.</t>
    <phoneticPr fontId="2" type="noConversion"/>
  </si>
  <si>
    <t>동일한 필드명이 존재합니다.</t>
    <phoneticPr fontId="2" type="noConversion"/>
  </si>
  <si>
    <t>wbsLevel</t>
  </si>
  <si>
    <t>wbs</t>
  </si>
  <si>
    <t>wbsLevel01</t>
  </si>
  <si>
    <t>wbsLevel02</t>
  </si>
  <si>
    <t>wbsLevel03</t>
  </si>
  <si>
    <t>wbsLevel04</t>
  </si>
  <si>
    <t>wbsLevel05</t>
  </si>
  <si>
    <t>wbsLevel06</t>
  </si>
  <si>
    <t>wbsLevel07</t>
  </si>
  <si>
    <t>wbsLevel08</t>
  </si>
  <si>
    <t>wbsLevel09</t>
  </si>
  <si>
    <t>wbsLevel10</t>
  </si>
  <si>
    <t>task</t>
  </si>
  <si>
    <t>resource</t>
  </si>
  <si>
    <t>start</t>
  </si>
  <si>
    <t>finish</t>
  </si>
  <si>
    <t>timebucketStart</t>
  </si>
  <si>
    <t>timebucketFinish</t>
  </si>
  <si>
    <t>weekNumber</t>
  </si>
  <si>
    <t>projectWeekNumber</t>
  </si>
  <si>
    <t>totalWorkload</t>
  </si>
  <si>
    <t>planWorkload</t>
  </si>
  <si>
    <t>resourceWeight</t>
  </si>
  <si>
    <t>resourceAssignRate</t>
  </si>
  <si>
    <t>planRate</t>
  </si>
  <si>
    <t>actualRate</t>
  </si>
  <si>
    <t>actualStart</t>
  </si>
  <si>
    <t>actualFinish</t>
  </si>
  <si>
    <t>earnedValue</t>
  </si>
  <si>
    <t>actualWorkload</t>
  </si>
  <si>
    <t>5</t>
  </si>
  <si>
    <t>UX(TBD)</t>
  </si>
  <si>
    <t>xlgantt_reserved</t>
  </si>
  <si>
    <t>project_information</t>
    <phoneticPr fontId="2" type="noConversion"/>
  </si>
  <si>
    <t>xlgantt_task_connection</t>
  </si>
  <si>
    <t>xlgantt_task_id</t>
  </si>
  <si>
    <t>wbs_level</t>
  </si>
  <si>
    <t>시작일</t>
    <phoneticPr fontId="2" type="noConversion"/>
  </si>
  <si>
    <t>__확인사항</t>
    <phoneticPr fontId="2" type="noConversion"/>
  </si>
  <si>
    <t>총작업량</t>
    <phoneticPr fontId="2" type="noConversion"/>
  </si>
  <si>
    <t>__확인사항2</t>
    <phoneticPr fontId="2" type="noConversion"/>
  </si>
  <si>
    <t>XYZ시스템 구축</t>
    <phoneticPr fontId="2" type="noConversion"/>
  </si>
  <si>
    <t>1;3;4;0;1</t>
    <phoneticPr fontId="2" type="noConversion"/>
  </si>
  <si>
    <t>Project X</t>
  </si>
  <si>
    <t>2;4;8;0;1</t>
    <phoneticPr fontId="2" type="noConversion"/>
  </si>
  <si>
    <t>3;5;6;0;0</t>
    <phoneticPr fontId="2" type="noConversion"/>
  </si>
  <si>
    <t>범위정의</t>
  </si>
  <si>
    <t>이지은,김분석</t>
    <phoneticPr fontId="2" type="noConversion"/>
  </si>
  <si>
    <t>4;8;9;0;1</t>
    <phoneticPr fontId="2" type="noConversion"/>
  </si>
  <si>
    <t>범위확정</t>
  </si>
  <si>
    <t>범위확정시 주요화면 준비</t>
    <phoneticPr fontId="2" type="noConversion"/>
  </si>
  <si>
    <t>5;7;11;0;1</t>
    <phoneticPr fontId="2" type="noConversion"/>
  </si>
  <si>
    <t>1.1.3</t>
  </si>
  <si>
    <t>Benchmarking</t>
  </si>
  <si>
    <t>이지은</t>
    <phoneticPr fontId="2" type="noConversion"/>
  </si>
  <si>
    <t>6;11;12;0;1</t>
    <phoneticPr fontId="2" type="noConversion"/>
  </si>
  <si>
    <t>6</t>
  </si>
  <si>
    <t>1.1.4</t>
  </si>
  <si>
    <t>Workshop</t>
  </si>
  <si>
    <t>7;10;14;0;1</t>
    <phoneticPr fontId="2" type="noConversion"/>
  </si>
  <si>
    <t>7</t>
  </si>
  <si>
    <t>설계</t>
  </si>
  <si>
    <t>8;14;15;0;1</t>
    <phoneticPr fontId="2" type="noConversion"/>
  </si>
  <si>
    <t>8</t>
  </si>
  <si>
    <t>데이터베이스 설계</t>
  </si>
  <si>
    <t>박설계</t>
    <phoneticPr fontId="2" type="noConversion"/>
  </si>
  <si>
    <t>9;15;16;0;1</t>
    <phoneticPr fontId="2" type="noConversion"/>
  </si>
  <si>
    <t>9</t>
  </si>
  <si>
    <t>UI설계</t>
  </si>
  <si>
    <t>10</t>
  </si>
  <si>
    <t>개발</t>
  </si>
  <si>
    <t>11</t>
  </si>
  <si>
    <t>코딩</t>
  </si>
  <si>
    <t>12</t>
  </si>
  <si>
    <t>단위테스트</t>
  </si>
  <si>
    <t>나개발</t>
    <phoneticPr fontId="2" type="noConversion"/>
  </si>
  <si>
    <t>13</t>
  </si>
  <si>
    <t>1.4</t>
  </si>
  <si>
    <t>테스트</t>
  </si>
  <si>
    <t>14</t>
  </si>
  <si>
    <t>1.4.1</t>
  </si>
  <si>
    <t>통합테스트</t>
  </si>
  <si>
    <t>김분석,이지은</t>
    <phoneticPr fontId="2" type="noConversion"/>
  </si>
  <si>
    <t>15</t>
  </si>
  <si>
    <t>1.4.2</t>
  </si>
  <si>
    <t>시스템테스트</t>
  </si>
  <si>
    <t>성능테스트Tool필요</t>
    <phoneticPr fontId="2" type="noConversion"/>
  </si>
  <si>
    <t>홍길동</t>
    <phoneticPr fontId="2" type="noConversion"/>
  </si>
  <si>
    <t>16</t>
  </si>
  <si>
    <t>1.4.3</t>
  </si>
  <si>
    <t>UAT</t>
    <phoneticPr fontId="2" type="noConversion"/>
  </si>
  <si>
    <t>나고객,이고객</t>
    <phoneticPr fontId="2" type="noConversion"/>
  </si>
  <si>
    <t>프로젝트 진척율(주별)</t>
  </si>
  <si>
    <t>* 주별로 프로젝트 진적율을 보여줍니다.</t>
  </si>
  <si>
    <t>* "진척율(주별)" 메뉴를 클릭해야 갱신됨</t>
  </si>
  <si>
    <t>계획작업량(Man-Day)</t>
  </si>
  <si>
    <t>계획작업량 누적(Man-Day)</t>
  </si>
  <si>
    <t>계획작업량 진척율</t>
  </si>
  <si>
    <t>실적기성(Man-Day)</t>
  </si>
  <si>
    <t>실적기성 누적(Man-Day)</t>
  </si>
  <si>
    <t>실적기성 진척율</t>
  </si>
  <si>
    <t>실제작업량(Man-Day)</t>
  </si>
  <si>
    <t>실제작업량 누적(Man-Day)</t>
  </si>
  <si>
    <t>실제작업량 진척율</t>
  </si>
  <si>
    <t>Total</t>
  </si>
  <si>
    <t>현업 인터뷰 일정 조율</t>
  </si>
  <si>
    <t>3.2.1.3</t>
  </si>
  <si>
    <t>3.2.2.4</t>
  </si>
  <si>
    <t>한정은,최유민</t>
  </si>
  <si>
    <t>Biz용어 후보 현업 검토 및 오너십,산출식 등 피드백 수집
(원천용어 추출 및 정리 순으로 인터뷰 진행)</t>
  </si>
  <si>
    <t>원천용어 추출 및 정리 순으로 인터뷰 일정 조율</t>
  </si>
  <si>
    <t>(Data Lineage) 아키텍처 설계</t>
  </si>
  <si>
    <t>(Data Lineage) Ingest Adaptor 설계/개발</t>
  </si>
  <si>
    <t>(Data Lineage) Core Module 설계/개발</t>
  </si>
  <si>
    <t>(Data Lineage) 단위/연계 테스트</t>
  </si>
  <si>
    <t>(Data Lineage) 프로토타입 1차 적용/테스트</t>
  </si>
  <si>
    <t>Data Lineage 아키텍처 설계서</t>
  </si>
  <si>
    <t>4.3.6</t>
  </si>
  <si>
    <t>4.3.7</t>
  </si>
  <si>
    <t>4.3.8</t>
  </si>
  <si>
    <t>4.3.9</t>
  </si>
  <si>
    <t>4.3.10</t>
  </si>
  <si>
    <t>고객사 환경에 맞는 관리체계 Tailoring</t>
  </si>
  <si>
    <t>(타시스템연계) 메타관리시스템 연계</t>
  </si>
  <si>
    <t>4.3.11</t>
  </si>
  <si>
    <t>4.3.12</t>
  </si>
  <si>
    <t>원천 용어 Parsing 및 후보도출</t>
  </si>
  <si>
    <t>Biz. Meta 현업 검토 및 후보 확정</t>
  </si>
  <si>
    <t>현업 설명회</t>
  </si>
  <si>
    <t>현업 검토결과 피드백 수집</t>
  </si>
  <si>
    <t>후보도출 결과 설명 및 피드백 요청</t>
  </si>
  <si>
    <t>2022-12.23</t>
  </si>
  <si>
    <t>총괄 원칙 및 관리영역 정의</t>
  </si>
  <si>
    <t>표준관리 지침 수립
데이터 오브젝트 명명규칙 정의
(테이블명명규칙, S3 디렉토리 명명규칙)</t>
  </si>
  <si>
    <t>표준 관리체계 수립</t>
  </si>
  <si>
    <t>구조 및 값품질진단 관리체계 수립</t>
  </si>
  <si>
    <t>3.4.2.1</t>
  </si>
  <si>
    <t>3.4.2.2</t>
  </si>
  <si>
    <t>3.4.2.3</t>
  </si>
  <si>
    <t>3.4.2.4</t>
  </si>
  <si>
    <t>3.4.2.5</t>
  </si>
  <si>
    <t>김장규</t>
  </si>
  <si>
    <t>원칙/관리영역/역할 정의
운영관리 담당자 R&amp;R
Owner 및 Steward 역할 정의</t>
  </si>
  <si>
    <t>IT Meta 관리 업무기능 및 프로세스
 - 1. 기존RDB 표준관리
 - 2. 데이터레이크환경에 따른 표준적용
Biz.Meta 관리 업무기능 및 프로세스</t>
  </si>
  <si>
    <t>데이터 구조관리 업무기능 및 프로세스
  - 1. 기존 RDB 구조관리
  - 2. 데이터레이크 환경에 따른 구조관리
데이터 값품질진단 업무기능 및 프로세스</t>
  </si>
  <si>
    <t>라이프사이클관리
데이터Object 관리(데이터레이크)</t>
  </si>
  <si>
    <t>원천데이터 변경 내역 공유체계
보안관리(계정/개인정보)</t>
  </si>
  <si>
    <t>운영관리체계 I</t>
  </si>
  <si>
    <t>운영관리체계 II</t>
  </si>
  <si>
    <t>4.3.13</t>
  </si>
  <si>
    <t>4.3.14</t>
  </si>
  <si>
    <t>테스트 항목서 및 매뉴얼(Smeta 매뉴얼 추가)</t>
  </si>
  <si>
    <t>(Biz. Meta)SMeta 패치</t>
  </si>
  <si>
    <t>(Biz. Meta)SMeta 적용 테스트</t>
  </si>
  <si>
    <t>중간보고</t>
  </si>
  <si>
    <t>Ownership, 산출식 등 속성정보 정의</t>
  </si>
  <si>
    <t>Biz. Meta 용어사전 검토 및 검토의견 전달</t>
  </si>
  <si>
    <t>4.3.15</t>
  </si>
  <si>
    <t>4.3.16</t>
  </si>
  <si>
    <t>2023--1-16</t>
  </si>
  <si>
    <t>(SSO연계)제품 패치 및 테스트</t>
  </si>
  <si>
    <t>(SSO연계)개발 및 내부테스트</t>
  </si>
  <si>
    <t>추가과제구분</t>
    <phoneticPr fontId="4" type="noConversion"/>
  </si>
  <si>
    <t>추가과제</t>
  </si>
  <si>
    <t>{"TASK_FIRST_COL":"5","START_ROW":"5","WBS_AREA_LAST_COL":"32"}</t>
    <phoneticPr fontId="4" type="noConversion"/>
  </si>
  <si>
    <t>SCHEDULE_SHEET_POSITION:3545161718192021222324252627282930313233</t>
    <phoneticPr fontId="2" type="noConversion"/>
  </si>
  <si>
    <t>시스템 오픈</t>
  </si>
  <si>
    <t>4.3.17</t>
  </si>
  <si>
    <t>(교육)SMeta사용자/관리자 교육</t>
  </si>
  <si>
    <t>(교육)SDQ 사용자/관리자 교육</t>
  </si>
  <si>
    <t>(교육)Biz Meta사용자교육(현업)</t>
  </si>
  <si>
    <t>4.3.18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</si>
</sst>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_);[Red]\(0\)"/>
    <numFmt numFmtId="177" formatCode="0.0"/>
    <numFmt numFmtId="178" formatCode="0.0_);[Red]\(0.0\)"/>
    <numFmt numFmtId="179" formatCode="0.00_);[Red]\(0.00\)"/>
  </numFmts>
  <fonts count="53">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b/>
      <sz val="10"/>
      <color theme="10"/>
      <name val="Calibri"/>
      <family val="2"/>
    </font>
    <font>
      <sz val="8"/>
      <color rgb="FFFF8800"/>
      <name val="Calibri"/>
      <family val="2"/>
    </font>
    <font>
      <sz val="11"/>
      <color theme="1"/>
      <name val="맑은 고딕"/>
      <family val="2"/>
      <scheme val="minor"/>
    </font>
    <font>
      <b/>
      <sz val="9"/>
      <name val="맑은 고딕"/>
      <family val="3"/>
      <charset val="129"/>
      <scheme val="minor"/>
    </font>
    <font>
      <b/>
      <sz val="10"/>
      <color theme="10"/>
      <name val="Malgun Gothic"/>
      <family val="3"/>
      <charset val="129"/>
    </font>
    <font>
      <b/>
      <sz val="9"/>
      <color rgb="FFFF8800"/>
      <name val="돋움"/>
      <family val="3"/>
      <charset val="129"/>
    </font>
    <font>
      <sz val="9"/>
      <color rgb="FFFF8800"/>
      <name val="맑은 고딕"/>
      <family val="3"/>
      <charset val="129"/>
      <scheme val="minor"/>
    </font>
  </fonts>
  <fills count="2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00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8" fillId="0" borderId="0" applyFont="0" applyFill="0" applyBorder="0" applyAlignment="0" applyProtection="0">
      <alignment vertical="center"/>
    </xf>
  </cellStyleXfs>
  <cellXfs count="280">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Alignment="1">
      <alignment vertical="center"/>
    </xf>
    <xf numFmtId="14" fontId="9" fillId="0" borderId="0" xfId="4" applyNumberFormat="1" applyFont="1" applyAlignment="1">
      <alignment vertical="center"/>
    </xf>
    <xf numFmtId="14" fontId="10" fillId="3" borderId="0" xfId="4" quotePrefix="1" applyNumberFormat="1" applyFont="1" applyFill="1"/>
    <xf numFmtId="14" fontId="10" fillId="3" borderId="0" xfId="4" applyNumberFormat="1" applyFont="1" applyFill="1" applyAlignment="1">
      <alignment vertical="center"/>
    </xf>
    <xf numFmtId="0" fontId="10" fillId="3" borderId="0" xfId="4" applyFont="1" applyFill="1"/>
    <xf numFmtId="176" fontId="12" fillId="3" borderId="0" xfId="4" applyNumberFormat="1" applyFont="1" applyFill="1" applyAlignment="1" applyProtection="1">
      <alignment vertical="center"/>
      <protection locked="0"/>
    </xf>
    <xf numFmtId="14" fontId="11" fillId="3" borderId="0" xfId="4" applyNumberFormat="1" applyFont="1" applyFill="1" applyAlignment="1">
      <alignment vertical="center"/>
    </xf>
    <xf numFmtId="14" fontId="10" fillId="0" borderId="6" xfId="4" applyNumberFormat="1" applyFont="1" applyBorder="1" applyAlignment="1" applyProtection="1">
      <alignment vertical="top"/>
      <protection locked="0"/>
    </xf>
    <xf numFmtId="14" fontId="10" fillId="0" borderId="6" xfId="4" applyNumberFormat="1" applyFont="1" applyBorder="1" applyAlignment="1" applyProtection="1">
      <alignment vertical="center"/>
      <protection locked="0"/>
    </xf>
    <xf numFmtId="0" fontId="10" fillId="0" borderId="6" xfId="4" applyFont="1" applyBorder="1" applyAlignment="1" applyProtection="1">
      <alignment vertical="top"/>
      <protection locked="0"/>
    </xf>
    <xf numFmtId="0" fontId="10" fillId="0" borderId="6" xfId="4" applyFont="1" applyBorder="1" applyAlignment="1" applyProtection="1">
      <alignment vertical="center" wrapText="1"/>
      <protection locked="0"/>
    </xf>
    <xf numFmtId="0" fontId="10" fillId="0" borderId="6" xfId="4" applyFont="1" applyBorder="1" applyAlignment="1" applyProtection="1">
      <alignment vertical="center"/>
      <protection locked="0"/>
    </xf>
    <xf numFmtId="0" fontId="10" fillId="0" borderId="0" xfId="4" applyFont="1" applyAlignment="1" applyProtection="1">
      <alignment vertical="top"/>
      <protection locked="0"/>
    </xf>
    <xf numFmtId="14" fontId="13" fillId="0" borderId="0" xfId="4" applyNumberFormat="1" applyFont="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Border="1" applyAlignment="1" applyProtection="1">
      <alignment horizontal="right" vertical="top"/>
      <protection locked="0"/>
    </xf>
    <xf numFmtId="14" fontId="10" fillId="0" borderId="8" xfId="4" applyNumberFormat="1" applyFont="1" applyBorder="1" applyAlignment="1" applyProtection="1">
      <alignment vertical="center"/>
      <protection locked="0"/>
    </xf>
    <xf numFmtId="0" fontId="10" fillId="0" borderId="8" xfId="4" applyFont="1" applyBorder="1" applyAlignment="1" applyProtection="1">
      <alignment vertical="top"/>
      <protection locked="0"/>
    </xf>
    <xf numFmtId="0" fontId="10" fillId="0" borderId="8" xfId="4" applyFont="1" applyBorder="1" applyAlignment="1" applyProtection="1">
      <alignment vertical="center"/>
      <protection locked="0"/>
    </xf>
    <xf numFmtId="14" fontId="13" fillId="0" borderId="0" xfId="4" applyNumberFormat="1" applyFont="1" applyAlignment="1" applyProtection="1">
      <alignment vertical="top"/>
      <protection locked="0"/>
    </xf>
    <xf numFmtId="14" fontId="10" fillId="0" borderId="0" xfId="4" applyNumberFormat="1" applyFont="1" applyAlignment="1" applyProtection="1">
      <alignment vertical="center"/>
      <protection locked="0"/>
    </xf>
    <xf numFmtId="0" fontId="10" fillId="0" borderId="9" xfId="4" applyFont="1" applyBorder="1" applyAlignment="1" applyProtection="1">
      <alignment vertical="center" wrapText="1"/>
      <protection locked="0"/>
    </xf>
    <xf numFmtId="14" fontId="10" fillId="0" borderId="0" xfId="4" applyNumberFormat="1" applyFont="1" applyAlignment="1" applyProtection="1">
      <alignment vertical="top"/>
      <protection locked="0"/>
    </xf>
    <xf numFmtId="14" fontId="13" fillId="0" borderId="8" xfId="4" applyNumberFormat="1" applyFont="1" applyBorder="1" applyAlignment="1" applyProtection="1">
      <alignment vertical="top"/>
      <protection locked="0"/>
    </xf>
    <xf numFmtId="0" fontId="10" fillId="0" borderId="8" xfId="4" applyFont="1" applyBorder="1" applyAlignment="1" applyProtection="1">
      <alignment vertical="center" wrapText="1"/>
      <protection locked="0"/>
    </xf>
    <xf numFmtId="14" fontId="13" fillId="0" borderId="9" xfId="4" applyNumberFormat="1" applyFont="1" applyBorder="1" applyAlignment="1" applyProtection="1">
      <alignment vertical="center" wrapText="1"/>
      <protection locked="0"/>
    </xf>
    <xf numFmtId="14" fontId="13" fillId="0" borderId="0" xfId="4" applyNumberFormat="1" applyFont="1" applyAlignment="1" applyProtection="1">
      <alignment horizontal="right" vertical="center" wrapText="1"/>
      <protection locked="0"/>
    </xf>
    <xf numFmtId="14" fontId="13" fillId="0" borderId="8" xfId="4" applyNumberFormat="1" applyFont="1" applyBorder="1" applyAlignment="1" applyProtection="1">
      <alignment vertical="center" wrapText="1"/>
      <protection locked="0"/>
    </xf>
    <xf numFmtId="0" fontId="10" fillId="0" borderId="8" xfId="4" applyFont="1" applyBorder="1" applyProtection="1">
      <protection locked="0"/>
    </xf>
    <xf numFmtId="0" fontId="10" fillId="0" borderId="0" xfId="4" applyFont="1" applyProtection="1">
      <protection locked="0"/>
    </xf>
    <xf numFmtId="14" fontId="10" fillId="0" borderId="0" xfId="4" applyNumberFormat="1" applyFont="1" applyProtection="1">
      <protection locked="0"/>
    </xf>
    <xf numFmtId="14" fontId="10" fillId="0" borderId="9" xfId="4" applyNumberFormat="1" applyFont="1" applyBorder="1" applyAlignment="1" applyProtection="1">
      <alignment vertical="center"/>
      <protection locked="0"/>
    </xf>
    <xf numFmtId="0" fontId="10" fillId="0" borderId="9" xfId="4" applyFont="1" applyBorder="1" applyProtection="1">
      <protection locked="0"/>
    </xf>
    <xf numFmtId="14" fontId="10" fillId="0" borderId="10" xfId="4" applyNumberFormat="1" applyFont="1" applyBorder="1" applyAlignment="1" applyProtection="1">
      <alignment vertical="center"/>
      <protection locked="0"/>
    </xf>
    <xf numFmtId="0" fontId="10" fillId="0" borderId="10" xfId="4" applyFont="1" applyBorder="1" applyAlignment="1" applyProtection="1">
      <alignment vertical="top"/>
      <protection locked="0"/>
    </xf>
    <xf numFmtId="14" fontId="13" fillId="0" borderId="9" xfId="4" applyNumberFormat="1" applyFont="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Border="1" applyAlignment="1" applyProtection="1">
      <alignment horizontal="right" vertical="top"/>
      <protection locked="0"/>
    </xf>
    <xf numFmtId="14" fontId="13" fillId="0" borderId="6" xfId="4" applyNumberFormat="1" applyFont="1" applyBorder="1" applyAlignment="1" applyProtection="1">
      <alignment horizontal="right" vertical="top"/>
      <protection locked="0"/>
    </xf>
    <xf numFmtId="14" fontId="13" fillId="0" borderId="11" xfId="4" applyNumberFormat="1" applyFont="1" applyBorder="1" applyAlignment="1" applyProtection="1">
      <alignment horizontal="right" vertical="top"/>
      <protection locked="0"/>
    </xf>
    <xf numFmtId="14" fontId="10" fillId="0" borderId="11" xfId="4" applyNumberFormat="1" applyFont="1" applyBorder="1" applyAlignment="1" applyProtection="1">
      <alignment vertical="center"/>
      <protection locked="0"/>
    </xf>
    <xf numFmtId="0" fontId="10" fillId="0" borderId="11" xfId="4" applyFont="1" applyBorder="1" applyAlignment="1" applyProtection="1">
      <alignment vertical="top"/>
      <protection locked="0"/>
    </xf>
    <xf numFmtId="14" fontId="13" fillId="0" borderId="12" xfId="4" applyNumberFormat="1" applyFont="1" applyBorder="1" applyAlignment="1" applyProtection="1">
      <alignment vertical="top"/>
      <protection locked="0"/>
    </xf>
    <xf numFmtId="14" fontId="10" fillId="0" borderId="12" xfId="4" applyNumberFormat="1" applyFont="1" applyBorder="1" applyAlignment="1" applyProtection="1">
      <alignment vertical="center"/>
      <protection locked="0"/>
    </xf>
    <xf numFmtId="0" fontId="10" fillId="0" borderId="12" xfId="4" applyFont="1" applyBorder="1" applyAlignment="1" applyProtection="1">
      <alignment vertical="top"/>
      <protection locked="0"/>
    </xf>
    <xf numFmtId="0" fontId="10" fillId="0" borderId="9" xfId="4" applyFont="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Border="1" applyAlignment="1" applyProtection="1">
      <alignment horizontal="right" vertical="top"/>
      <protection locked="0"/>
    </xf>
    <xf numFmtId="14" fontId="10" fillId="0" borderId="13" xfId="4" applyNumberFormat="1" applyFont="1" applyBorder="1" applyAlignment="1" applyProtection="1">
      <alignment vertical="center"/>
      <protection locked="0"/>
    </xf>
    <xf numFmtId="0" fontId="10" fillId="0" borderId="13" xfId="4" applyFont="1" applyBorder="1" applyAlignment="1" applyProtection="1">
      <alignment vertical="top"/>
      <protection locked="0"/>
    </xf>
    <xf numFmtId="0" fontId="10" fillId="0" borderId="13" xfId="4" applyFont="1" applyBorder="1" applyAlignment="1" applyProtection="1">
      <alignment vertical="center"/>
      <protection locked="0"/>
    </xf>
    <xf numFmtId="14" fontId="9" fillId="0" borderId="0" xfId="4" applyNumberFormat="1" applyFont="1" applyAlignment="1" applyProtection="1">
      <alignment vertical="top"/>
      <protection locked="0"/>
    </xf>
    <xf numFmtId="14" fontId="9" fillId="0" borderId="0" xfId="4" applyNumberFormat="1" applyFont="1" applyAlignment="1" applyProtection="1">
      <alignment vertical="center"/>
      <protection locked="0"/>
    </xf>
    <xf numFmtId="0" fontId="9" fillId="0" borderId="0" xfId="4" applyFont="1" applyAlignment="1" applyProtection="1">
      <alignment vertical="top"/>
      <protection locked="0"/>
    </xf>
    <xf numFmtId="14" fontId="9" fillId="0" borderId="0" xfId="4" applyNumberFormat="1" applyFont="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Protection="1">
      <protection locked="0"/>
    </xf>
    <xf numFmtId="1" fontId="9" fillId="0" borderId="0" xfId="4" applyNumberFormat="1" applyFont="1" applyAlignment="1" applyProtection="1">
      <alignment vertical="center"/>
      <protection locked="0"/>
    </xf>
    <xf numFmtId="176" fontId="9" fillId="0" borderId="0" xfId="4" applyNumberFormat="1" applyFont="1" applyAlignment="1" applyProtection="1">
      <alignment vertical="center"/>
      <protection locked="0"/>
    </xf>
    <xf numFmtId="14" fontId="9" fillId="0" borderId="0" xfId="4" applyNumberFormat="1" applyFont="1"/>
    <xf numFmtId="14" fontId="9" fillId="3" borderId="0" xfId="4" applyNumberFormat="1" applyFont="1" applyFill="1" applyAlignment="1">
      <alignment vertical="top"/>
    </xf>
    <xf numFmtId="14" fontId="15" fillId="4" borderId="14" xfId="4" applyNumberFormat="1" applyFont="1" applyFill="1" applyBorder="1" applyAlignment="1">
      <alignment horizontal="center" vertical="center"/>
    </xf>
    <xf numFmtId="14" fontId="9" fillId="0" borderId="0" xfId="4" applyNumberFormat="1" applyFont="1" applyAlignment="1">
      <alignment horizontal="center" vertical="center"/>
    </xf>
    <xf numFmtId="0" fontId="10" fillId="8" borderId="15" xfId="4" applyFont="1" applyFill="1" applyBorder="1" applyAlignment="1">
      <alignment horizontal="left" vertical="top"/>
    </xf>
    <xf numFmtId="0" fontId="10" fillId="0" borderId="0" xfId="4" applyFont="1" applyAlignment="1">
      <alignment horizontal="left" vertical="top"/>
    </xf>
    <xf numFmtId="0" fontId="10" fillId="0" borderId="0" xfId="4" applyFont="1" applyAlignment="1">
      <alignment vertical="top"/>
    </xf>
    <xf numFmtId="0" fontId="10" fillId="0" borderId="0" xfId="4" quotePrefix="1" applyFont="1" applyAlignment="1">
      <alignment horizontal="left" vertical="top"/>
    </xf>
    <xf numFmtId="14" fontId="10" fillId="0" borderId="0" xfId="4" applyNumberFormat="1" applyFont="1" applyAlignment="1">
      <alignment horizontal="left" vertical="top"/>
    </xf>
    <xf numFmtId="0" fontId="10" fillId="0" borderId="15" xfId="4" applyFont="1" applyBorder="1" applyAlignment="1">
      <alignment vertical="top"/>
    </xf>
    <xf numFmtId="0" fontId="10" fillId="0" borderId="15" xfId="4" applyFont="1" applyBorder="1" applyAlignment="1">
      <alignment horizontal="left" vertical="top"/>
    </xf>
    <xf numFmtId="1" fontId="10" fillId="0" borderId="0" xfId="4" applyNumberFormat="1" applyFont="1" applyAlignment="1">
      <alignment horizontal="left" vertical="top"/>
    </xf>
    <xf numFmtId="22" fontId="10" fillId="0" borderId="0" xfId="4" applyNumberFormat="1" applyFont="1" applyAlignment="1">
      <alignment horizontal="left" vertical="top"/>
    </xf>
    <xf numFmtId="14" fontId="10" fillId="0" borderId="0" xfId="4" applyNumberFormat="1" applyFont="1" applyAlignment="1">
      <alignment vertical="top"/>
    </xf>
    <xf numFmtId="0" fontId="17" fillId="0" borderId="0" xfId="0" applyFo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4" applyNumberFormat="1" applyFont="1" applyBorder="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Alignment="1" applyProtection="1">
      <alignment horizontal="left"/>
      <protection locked="0"/>
    </xf>
    <xf numFmtId="0" fontId="9" fillId="0" borderId="0" xfId="4" applyFont="1" applyAlignment="1" applyProtection="1">
      <alignment horizontal="left"/>
      <protection locked="0"/>
    </xf>
    <xf numFmtId="10" fontId="9" fillId="0" borderId="0" xfId="4" applyNumberFormat="1" applyFont="1" applyAlignment="1" applyProtection="1">
      <alignment horizontal="left"/>
      <protection locked="0"/>
    </xf>
    <xf numFmtId="0" fontId="9" fillId="0" borderId="0" xfId="4" quotePrefix="1" applyFont="1" applyAlignment="1" applyProtection="1">
      <alignment horizontal="left"/>
      <protection locked="0"/>
    </xf>
    <xf numFmtId="0" fontId="9" fillId="0" borderId="0" xfId="4" applyFont="1" applyAlignment="1" applyProtection="1">
      <alignment horizontal="center"/>
      <protection locked="0"/>
    </xf>
    <xf numFmtId="10" fontId="9" fillId="0" borderId="0" xfId="4" applyNumberFormat="1" applyFont="1" applyAlignment="1" applyProtection="1">
      <alignment horizontal="center"/>
      <protection locked="0"/>
    </xf>
    <xf numFmtId="3" fontId="10" fillId="0" borderId="0" xfId="4" applyNumberFormat="1" applyFont="1" applyAlignment="1">
      <alignment vertical="top"/>
    </xf>
    <xf numFmtId="14" fontId="0" fillId="8" borderId="0" xfId="0" applyNumberFormat="1" applyFill="1"/>
    <xf numFmtId="0" fontId="23" fillId="0" borderId="5" xfId="4" applyFont="1" applyBorder="1" applyAlignment="1" applyProtection="1">
      <alignment vertical="top"/>
      <protection locked="0"/>
    </xf>
    <xf numFmtId="0" fontId="23" fillId="0" borderId="5" xfId="4" applyFont="1" applyBorder="1" applyAlignment="1" applyProtection="1">
      <alignment horizontal="left" vertical="top"/>
      <protection locked="0"/>
    </xf>
    <xf numFmtId="14" fontId="23" fillId="0" borderId="5" xfId="4" applyNumberFormat="1" applyFont="1" applyBorder="1" applyAlignment="1" applyProtection="1">
      <alignment horizontal="center" vertical="top"/>
      <protection locked="0"/>
    </xf>
    <xf numFmtId="178" fontId="23" fillId="0" borderId="5" xfId="4" applyNumberFormat="1" applyFont="1" applyBorder="1" applyAlignment="1" applyProtection="1">
      <alignment horizontal="center" vertical="top"/>
      <protection locked="0"/>
    </xf>
    <xf numFmtId="177" fontId="23" fillId="0" borderId="5" xfId="4" applyNumberFormat="1" applyFont="1" applyBorder="1" applyAlignment="1" applyProtection="1">
      <alignment horizontal="center" vertical="top"/>
      <protection locked="0"/>
    </xf>
    <xf numFmtId="1" fontId="23" fillId="0" borderId="5" xfId="4" applyNumberFormat="1" applyFont="1" applyBorder="1" applyAlignment="1" applyProtection="1">
      <alignment horizontal="center" vertical="top"/>
      <protection locked="0"/>
    </xf>
    <xf numFmtId="14" fontId="23" fillId="0" borderId="5" xfId="4" applyNumberFormat="1" applyFont="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3" fillId="0" borderId="5" xfId="4" applyFont="1" applyBorder="1" applyAlignment="1" applyProtection="1">
      <alignment horizontal="center" vertical="top"/>
      <protection locked="0"/>
    </xf>
    <xf numFmtId="0" fontId="0" fillId="0" borderId="0" xfId="0" applyAlignment="1">
      <alignment wrapText="1"/>
    </xf>
    <xf numFmtId="0" fontId="3" fillId="0" borderId="0" xfId="2" applyFill="1" applyBorder="1" applyAlignment="1">
      <alignment horizontal="left" vertical="top"/>
    </xf>
    <xf numFmtId="14" fontId="19" fillId="0" borderId="7" xfId="0" applyNumberFormat="1" applyFont="1" applyBorder="1" applyProtection="1">
      <protection locked="0"/>
    </xf>
    <xf numFmtId="0" fontId="23" fillId="0" borderId="30" xfId="4" applyFont="1" applyBorder="1" applyAlignment="1" applyProtection="1">
      <alignment horizontal="left" vertical="center"/>
      <protection locked="0"/>
    </xf>
    <xf numFmtId="0" fontId="9" fillId="6" borderId="2" xfId="4" applyFont="1" applyFill="1" applyBorder="1" applyAlignment="1">
      <alignment horizontal="left" wrapText="1"/>
    </xf>
    <xf numFmtId="0" fontId="9" fillId="6" borderId="3" xfId="4" applyFont="1" applyFill="1" applyBorder="1" applyAlignment="1">
      <alignment horizontal="left" wrapText="1"/>
    </xf>
    <xf numFmtId="0" fontId="23" fillId="0" borderId="30" xfId="4" applyFont="1" applyBorder="1" applyAlignment="1" applyProtection="1">
      <alignment horizontal="left" vertical="top" wrapText="1"/>
      <protection locked="0"/>
    </xf>
    <xf numFmtId="0" fontId="9" fillId="6" borderId="1" xfId="4" applyFont="1" applyFill="1" applyBorder="1" applyAlignment="1">
      <alignment horizontal="left" wrapText="1"/>
    </xf>
    <xf numFmtId="2" fontId="9" fillId="6" borderId="2" xfId="4" applyNumberFormat="1" applyFont="1" applyFill="1" applyBorder="1" applyAlignment="1">
      <alignment horizontal="left" wrapText="1"/>
    </xf>
    <xf numFmtId="0" fontId="9" fillId="0" borderId="0" xfId="4" applyFont="1"/>
    <xf numFmtId="2" fontId="9" fillId="0" borderId="0" xfId="4" applyNumberFormat="1" applyFont="1"/>
    <xf numFmtId="0" fontId="7" fillId="0" borderId="0" xfId="4" applyFont="1" applyAlignment="1">
      <alignment vertical="center"/>
    </xf>
    <xf numFmtId="14" fontId="9" fillId="0" borderId="10" xfId="4" applyNumberFormat="1" applyFont="1" applyBorder="1"/>
    <xf numFmtId="0" fontId="9" fillId="0" borderId="10" xfId="4" applyFont="1" applyBorder="1"/>
    <xf numFmtId="10" fontId="9" fillId="0" borderId="10" xfId="6" applyNumberFormat="1" applyFont="1" applyBorder="1" applyAlignment="1"/>
    <xf numFmtId="14" fontId="9" fillId="0" borderId="31" xfId="4" applyNumberFormat="1" applyFont="1" applyBorder="1"/>
    <xf numFmtId="0" fontId="9" fillId="0" borderId="31" xfId="4" applyFont="1" applyBorder="1"/>
    <xf numFmtId="10" fontId="9" fillId="0" borderId="31" xfId="6" applyNumberFormat="1" applyFont="1" applyBorder="1" applyAlignment="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5" fillId="17" borderId="0" xfId="2" applyFont="1" applyFill="1" applyBorder="1" applyAlignment="1">
      <alignment horizontal="left" vertical="center"/>
    </xf>
    <xf numFmtId="0" fontId="39" fillId="17" borderId="0" xfId="1" applyFont="1" applyFill="1" applyBorder="1" applyAlignment="1">
      <alignment horizontal="left" vertical="center"/>
    </xf>
    <xf numFmtId="14" fontId="47" fillId="19" borderId="19" xfId="4" applyNumberFormat="1" applyFont="1" applyFill="1" applyBorder="1" applyAlignment="1">
      <alignment horizontal="center" vertical="center"/>
    </xf>
    <xf numFmtId="14" fontId="47" fillId="19" borderId="20" xfId="4" applyNumberFormat="1" applyFont="1" applyFill="1" applyBorder="1" applyAlignment="1">
      <alignment horizontal="center" vertical="center"/>
    </xf>
    <xf numFmtId="0" fontId="23" fillId="0" borderId="29" xfId="4" applyFont="1" applyBorder="1" applyAlignment="1" applyProtection="1">
      <alignment vertical="top"/>
      <protection locked="0"/>
    </xf>
    <xf numFmtId="0" fontId="23" fillId="0" borderId="29" xfId="4" applyFont="1" applyBorder="1" applyAlignment="1" applyProtection="1">
      <alignment horizontal="center" vertical="top"/>
      <protection locked="0"/>
    </xf>
    <xf numFmtId="0" fontId="23" fillId="0" borderId="29" xfId="4" applyFont="1" applyBorder="1" applyAlignment="1" applyProtection="1">
      <alignment horizontal="left" vertical="top"/>
      <protection locked="0"/>
    </xf>
    <xf numFmtId="14" fontId="23" fillId="0" borderId="29" xfId="4" applyNumberFormat="1" applyFont="1" applyBorder="1" applyAlignment="1" applyProtection="1">
      <alignment horizontal="center" vertical="top"/>
      <protection locked="0"/>
    </xf>
    <xf numFmtId="178" fontId="23" fillId="0" borderId="29" xfId="4" applyNumberFormat="1" applyFont="1" applyBorder="1" applyAlignment="1" applyProtection="1">
      <alignment horizontal="center" vertical="top"/>
      <protection locked="0"/>
    </xf>
    <xf numFmtId="177" fontId="23" fillId="0" borderId="29" xfId="4" applyNumberFormat="1" applyFont="1" applyBorder="1" applyAlignment="1" applyProtection="1">
      <alignment horizontal="center" vertical="top"/>
      <protection locked="0"/>
    </xf>
    <xf numFmtId="14" fontId="23" fillId="0" borderId="29" xfId="4" applyNumberFormat="1" applyFont="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23" fillId="0" borderId="30" xfId="4" applyFont="1" applyBorder="1" applyAlignment="1" applyProtection="1">
      <alignment vertical="top"/>
      <protection locked="0"/>
    </xf>
    <xf numFmtId="0" fontId="23" fillId="0" borderId="30" xfId="4" applyFont="1" applyBorder="1" applyAlignment="1" applyProtection="1">
      <alignment horizontal="left" vertical="top"/>
      <protection locked="0"/>
    </xf>
    <xf numFmtId="14" fontId="23" fillId="0" borderId="30" xfId="4" applyNumberFormat="1" applyFont="1" applyBorder="1" applyAlignment="1" applyProtection="1">
      <alignment horizontal="center" vertical="top"/>
      <protection locked="0"/>
    </xf>
    <xf numFmtId="178" fontId="23" fillId="0" borderId="30" xfId="4" applyNumberFormat="1" applyFont="1" applyBorder="1" applyAlignment="1" applyProtection="1">
      <alignment horizontal="center" vertical="top"/>
      <protection locked="0"/>
    </xf>
    <xf numFmtId="177" fontId="23" fillId="0" borderId="30" xfId="4" applyNumberFormat="1" applyFont="1" applyBorder="1" applyAlignment="1" applyProtection="1">
      <alignment horizontal="center" vertical="top"/>
      <protection locked="0"/>
    </xf>
    <xf numFmtId="1" fontId="23" fillId="0" borderId="30" xfId="4" applyNumberFormat="1" applyFont="1" applyBorder="1" applyAlignment="1" applyProtection="1">
      <alignment horizontal="center" vertical="top"/>
      <protection locked="0"/>
    </xf>
    <xf numFmtId="14" fontId="23" fillId="0" borderId="30" xfId="4" applyNumberFormat="1" applyFont="1" applyBorder="1" applyAlignment="1" applyProtection="1">
      <alignment horizontal="left" vertical="top"/>
      <protection locked="0"/>
    </xf>
    <xf numFmtId="10" fontId="23" fillId="0" borderId="30" xfId="6" applyNumberFormat="1" applyFont="1" applyFill="1" applyBorder="1" applyAlignment="1" applyProtection="1">
      <alignment horizontal="right" vertical="top" wrapText="1"/>
      <protection locked="0"/>
    </xf>
    <xf numFmtId="10" fontId="23" fillId="17" borderId="30" xfId="6" applyNumberFormat="1" applyFont="1" applyFill="1" applyBorder="1" applyAlignment="1" applyProtection="1">
      <alignment horizontal="right" vertical="top"/>
      <protection locked="0"/>
    </xf>
    <xf numFmtId="0" fontId="23" fillId="0" borderId="30" xfId="4" quotePrefix="1" applyFont="1" applyBorder="1" applyAlignment="1" applyProtection="1">
      <alignment horizontal="left" vertical="top"/>
      <protection locked="0"/>
    </xf>
    <xf numFmtId="0" fontId="47" fillId="19" borderId="21" xfId="4" applyFont="1" applyFill="1" applyBorder="1" applyAlignment="1">
      <alignment horizontal="left" vertical="center"/>
    </xf>
    <xf numFmtId="0" fontId="47" fillId="19" borderId="20" xfId="4" applyFont="1" applyFill="1" applyBorder="1" applyAlignment="1">
      <alignment horizontal="left" vertical="center"/>
    </xf>
    <xf numFmtId="10" fontId="49" fillId="17" borderId="30" xfId="6" applyNumberFormat="1" applyFont="1" applyFill="1" applyBorder="1" applyAlignment="1" applyProtection="1">
      <alignment horizontal="right" vertical="top"/>
      <protection locked="0"/>
    </xf>
    <xf numFmtId="14" fontId="23" fillId="0" borderId="30" xfId="4" applyNumberFormat="1" applyFont="1" applyBorder="1" applyAlignment="1" applyProtection="1">
      <alignment horizontal="left" vertical="top" wrapText="1"/>
      <protection locked="0"/>
    </xf>
    <xf numFmtId="1" fontId="23" fillId="0" borderId="29" xfId="4" applyNumberFormat="1" applyFont="1" applyBorder="1" applyAlignment="1" applyProtection="1">
      <alignment horizontal="center" vertical="top"/>
      <protection locked="0"/>
    </xf>
    <xf numFmtId="10" fontId="23" fillId="21" borderId="30" xfId="6" applyNumberFormat="1" applyFont="1" applyFill="1" applyBorder="1" applyAlignment="1" applyProtection="1">
      <alignment horizontal="right" vertical="top"/>
      <protection locked="0"/>
    </xf>
    <xf numFmtId="10" fontId="49" fillId="21" borderId="30" xfId="6" applyNumberFormat="1" applyFont="1" applyFill="1" applyBorder="1" applyAlignment="1" applyProtection="1">
      <alignment horizontal="right" vertical="top"/>
      <protection locked="0"/>
    </xf>
    <xf numFmtId="0" fontId="36" fillId="17" borderId="0" xfId="1" applyFont="1" applyFill="1" applyBorder="1" applyAlignment="1">
      <alignment horizontal="left" vertical="center"/>
    </xf>
    <xf numFmtId="0" fontId="49" fillId="0" borderId="30" xfId="4" applyFont="1" applyBorder="1" applyAlignment="1" applyProtection="1">
      <alignment horizontal="center" vertical="top"/>
      <protection locked="0"/>
    </xf>
    <xf numFmtId="0" fontId="23" fillId="0" borderId="30" xfId="4" applyFont="1" applyBorder="1" applyAlignment="1" applyProtection="1">
      <alignment horizontal="center" vertical="top"/>
      <protection locked="0"/>
    </xf>
    <xf numFmtId="0" fontId="52" fillId="0" borderId="0" xfId="4" applyFont="1" applyAlignment="1">
      <alignment horizontal="left" vertical="center"/>
    </xf>
    <xf numFmtId="0" fontId="23" fillId="0" borderId="0" xfId="4" applyFont="1" applyAlignment="1">
      <alignment horizontal="left" vertical="center"/>
    </xf>
    <xf numFmtId="0" fontId="23" fillId="0" borderId="27" xfId="4" applyFont="1" applyBorder="1" applyAlignment="1" applyProtection="1">
      <alignment horizontal="left" vertical="center"/>
      <protection locked="0"/>
    </xf>
    <xf numFmtId="0" fontId="23" fillId="0" borderId="28" xfId="4" applyFont="1" applyBorder="1" applyAlignment="1" applyProtection="1">
      <alignment horizontal="left" vertical="center"/>
      <protection locked="0"/>
    </xf>
    <xf numFmtId="0" fontId="23" fillId="0" borderId="26" xfId="4" applyFont="1" applyBorder="1" applyAlignment="1" applyProtection="1">
      <alignment horizontal="left" vertical="center"/>
      <protection locked="0"/>
    </xf>
    <xf numFmtId="0" fontId="23" fillId="0" borderId="4" xfId="4" applyFont="1" applyBorder="1" applyAlignment="1" applyProtection="1">
      <alignment horizontal="left" vertical="center"/>
      <protection locked="0"/>
    </xf>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0" fontId="9" fillId="0" borderId="18" xfId="0" applyFont="1" applyBorder="1" applyAlignment="1" applyProtection="1">
      <alignment horizontal="left" vertical="top" wrapText="1"/>
      <protection locked="0"/>
    </xf>
    <xf numFmtId="0" fontId="9" fillId="0" borderId="18" xfId="0" applyFont="1" applyBorder="1" applyAlignment="1" applyProtection="1">
      <alignment horizontal="left" vertical="center"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Alignment="1">
      <alignment horizontal="left" vertical="top" wrapText="1"/>
    </xf>
    <xf numFmtId="0" fontId="9" fillId="0" borderId="15" xfId="0" applyFont="1" applyBorder="1" applyAlignment="1" applyProtection="1">
      <alignment horizontal="left" vertical="center" wrapText="1"/>
      <protection locked="0"/>
    </xf>
    <xf numFmtId="0" fontId="46" fillId="20" borderId="25" xfId="2" applyFont="1" applyFill="1" applyBorder="1" applyAlignment="1">
      <alignment vertical="center"/>
    </xf>
    <xf numFmtId="0" fontId="0" fillId="20" borderId="25" xfId="0" applyFill="1" applyBorder="1" applyAlignment="1">
      <alignment vertical="center"/>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14" fontId="20" fillId="9" borderId="2" xfId="4" applyNumberFormat="1" applyFont="1" applyFill="1" applyBorder="1" applyAlignment="1">
      <alignment horizontal="center" vertical="center"/>
    </xf>
    <xf numFmtId="14" fontId="20" fillId="18" borderId="2" xfId="4" applyNumberFormat="1" applyFont="1" applyFill="1" applyBorder="1" applyAlignment="1">
      <alignment horizontal="center" vertical="center"/>
    </xf>
    <xf numFmtId="0" fontId="20" fillId="16" borderId="1" xfId="4" applyFont="1" applyFill="1" applyBorder="1" applyAlignment="1">
      <alignment horizontal="center" vertical="center" wrapText="1"/>
    </xf>
    <xf numFmtId="0" fontId="20" fillId="16" borderId="0" xfId="4" applyFont="1" applyFill="1" applyAlignment="1">
      <alignment horizontal="center" vertical="center" wrapText="1"/>
    </xf>
    <xf numFmtId="0" fontId="20" fillId="16" borderId="2" xfId="4" applyFont="1" applyFill="1" applyBorder="1" applyAlignment="1">
      <alignment horizontal="center" vertical="center"/>
    </xf>
    <xf numFmtId="0" fontId="20" fillId="16" borderId="16" xfId="4" applyFont="1" applyFill="1" applyBorder="1" applyAlignment="1">
      <alignment horizontal="center" vertical="center"/>
    </xf>
    <xf numFmtId="0" fontId="20" fillId="16" borderId="2" xfId="4" applyFont="1" applyFill="1" applyBorder="1" applyAlignment="1">
      <alignment horizontal="center" vertical="center" wrapText="1"/>
    </xf>
    <xf numFmtId="0" fontId="20" fillId="19" borderId="2" xfId="4" applyFont="1" applyFill="1" applyBorder="1" applyAlignment="1">
      <alignment horizontal="center" vertical="center"/>
    </xf>
    <xf numFmtId="0" fontId="20" fillId="18" borderId="2" xfId="4" applyFont="1" applyFill="1" applyBorder="1" applyAlignment="1">
      <alignment horizontal="center" vertical="center"/>
    </xf>
    <xf numFmtId="0" fontId="20" fillId="9" borderId="3" xfId="4" applyFont="1" applyFill="1" applyBorder="1" applyAlignment="1">
      <alignment horizontal="center" vertical="center"/>
    </xf>
    <xf numFmtId="0" fontId="20" fillId="18" borderId="0" xfId="4" applyFont="1" applyFill="1" applyAlignment="1">
      <alignment horizontal="center" vertical="center"/>
    </xf>
    <xf numFmtId="0" fontId="20" fillId="18" borderId="3" xfId="4" applyFont="1" applyFill="1" applyBorder="1" applyAlignment="1">
      <alignment horizontal="center" vertical="center"/>
    </xf>
    <xf numFmtId="176" fontId="20" fillId="9" borderId="2" xfId="4" applyNumberFormat="1" applyFont="1" applyFill="1" applyBorder="1" applyAlignment="1">
      <alignment horizontal="center" vertical="center"/>
    </xf>
    <xf numFmtId="176" fontId="20" fillId="18" borderId="2" xfId="4" applyNumberFormat="1" applyFont="1" applyFill="1" applyBorder="1" applyAlignment="1">
      <alignment horizontal="center" vertical="center"/>
    </xf>
    <xf numFmtId="0" fontId="20" fillId="9" borderId="2" xfId="4" applyFont="1" applyFill="1" applyBorder="1" applyAlignment="1">
      <alignment horizontal="center" vertical="center"/>
    </xf>
    <xf numFmtId="0" fontId="42" fillId="17" borderId="0" xfId="3" applyNumberFormat="1" applyFont="1" applyFill="1" applyBorder="1" applyAlignment="1">
      <alignment horizontal="center" vertical="center" wrapText="1"/>
    </xf>
    <xf numFmtId="178" fontId="20" fillId="19" borderId="2" xfId="4" applyNumberFormat="1" applyFont="1" applyFill="1" applyBorder="1" applyAlignment="1">
      <alignment horizontal="center" vertical="center" wrapText="1"/>
    </xf>
    <xf numFmtId="178" fontId="20" fillId="18" borderId="2" xfId="4" applyNumberFormat="1" applyFont="1" applyFill="1" applyBorder="1" applyAlignment="1">
      <alignment horizontal="center" vertical="center" wrapText="1"/>
    </xf>
    <xf numFmtId="14" fontId="20" fillId="9" borderId="2" xfId="4" applyNumberFormat="1" applyFont="1" applyFill="1" applyBorder="1" applyAlignment="1">
      <alignment horizontal="center" vertical="center" wrapText="1"/>
    </xf>
    <xf numFmtId="1" fontId="20" fillId="19" borderId="2" xfId="4" applyNumberFormat="1" applyFont="1" applyFill="1" applyBorder="1" applyAlignment="1">
      <alignment horizontal="center" vertical="center" wrapText="1"/>
    </xf>
    <xf numFmtId="1" fontId="20" fillId="18" borderId="2" xfId="4" applyNumberFormat="1" applyFont="1" applyFill="1" applyBorder="1" applyAlignment="1">
      <alignment horizontal="center" vertical="center" wrapText="1"/>
    </xf>
    <xf numFmtId="178" fontId="20" fillId="19" borderId="2" xfId="4" applyNumberFormat="1" applyFont="1" applyFill="1" applyBorder="1" applyAlignment="1">
      <alignment horizontal="center" vertical="top" wrapText="1"/>
    </xf>
    <xf numFmtId="178" fontId="20" fillId="18" borderId="2" xfId="4" applyNumberFormat="1" applyFont="1" applyFill="1" applyBorder="1" applyAlignment="1">
      <alignment horizontal="center" vertical="top" wrapText="1"/>
    </xf>
    <xf numFmtId="177" fontId="20" fillId="19" borderId="2" xfId="4" applyNumberFormat="1" applyFont="1" applyFill="1" applyBorder="1" applyAlignment="1">
      <alignment horizontal="center" vertical="center" wrapText="1"/>
    </xf>
    <xf numFmtId="177" fontId="20" fillId="18" borderId="2" xfId="4" applyNumberFormat="1" applyFont="1" applyFill="1" applyBorder="1" applyAlignment="1">
      <alignment horizontal="center" vertical="center" wrapText="1"/>
    </xf>
    <xf numFmtId="0" fontId="35" fillId="19" borderId="20" xfId="1" applyFont="1" applyFill="1" applyBorder="1" applyAlignment="1">
      <alignment horizontal="left" vertical="center" wrapText="1"/>
    </xf>
    <xf numFmtId="0" fontId="35" fillId="19" borderId="20" xfId="1" applyFont="1" applyFill="1" applyBorder="1" applyAlignment="1">
      <alignment horizontal="left" vertical="center"/>
    </xf>
    <xf numFmtId="0" fontId="36" fillId="17" borderId="0" xfId="1" applyFont="1" applyFill="1" applyBorder="1" applyAlignment="1">
      <alignment horizontal="left" vertical="center"/>
    </xf>
    <xf numFmtId="0" fontId="35" fillId="19" borderId="21" xfId="1" applyFont="1" applyFill="1" applyBorder="1" applyAlignment="1">
      <alignment horizontal="left" vertical="center"/>
    </xf>
    <xf numFmtId="0" fontId="35" fillId="19" borderId="19" xfId="1" applyFont="1" applyFill="1" applyBorder="1" applyAlignment="1">
      <alignment horizontal="left" vertical="center" wrapText="1"/>
    </xf>
    <xf numFmtId="0" fontId="10" fillId="0" borderId="0" xfId="4" applyFont="1" applyAlignment="1" applyProtection="1">
      <alignment horizontal="left" vertical="center" wrapText="1"/>
      <protection locked="0"/>
    </xf>
    <xf numFmtId="0" fontId="10" fillId="0" borderId="0" xfId="4" applyFont="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Alignment="1">
      <alignment horizontal="right" vertical="center"/>
    </xf>
    <xf numFmtId="0" fontId="26" fillId="0" borderId="0" xfId="4" applyFont="1" applyAlignment="1" applyProtection="1">
      <alignment horizontal="left" vertical="center" wrapText="1"/>
      <protection locked="0"/>
    </xf>
    <xf numFmtId="14" fontId="9" fillId="3" borderId="0" xfId="4" applyNumberFormat="1" applyFont="1" applyFill="1" applyAlignment="1">
      <alignment horizontal="left" vertical="top" wrapText="1"/>
    </xf>
    <xf numFmtId="14" fontId="14" fillId="7" borderId="14"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3">
    <dxf>
      <fill>
        <patternFill>
          <bgColor rgb="FFFFC000"/>
        </patternFill>
      </fill>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1" defaultTableStyle="TableStyleMedium2" defaultPivotStyle="PivotStyleLight16">
    <tableStyle name="Invisible" pivot="0" table="0" count="0" xr9:uid="{00000000-0011-0000-FFFF-FFFF00000000}"/>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AnalysisReport!$F$6</c:f>
              <c:strCache>
                <c:ptCount val="1"/>
                <c:pt idx="0">
                  <c:v>계획작업량 진척율</c:v>
                </c:pt>
              </c:strCache>
            </c:strRef>
          </c:tx>
          <c:cat>
            <c:numRef>
              <c:f>AnalysisReport!$C$7:$C$28</c:f>
              <c:numCache>
                <c:formatCode>m/d/yyyy</c:formatCode>
                <c:ptCount val="22"/>
                <c:pt idx="0">
                  <c:v>44835</c:v>
                </c:pt>
                <c:pt idx="1">
                  <c:v>44842</c:v>
                </c:pt>
                <c:pt idx="2">
                  <c:v>44849</c:v>
                </c:pt>
                <c:pt idx="3">
                  <c:v>44856</c:v>
                </c:pt>
                <c:pt idx="4">
                  <c:v>44863</c:v>
                </c:pt>
                <c:pt idx="5">
                  <c:v>44870</c:v>
                </c:pt>
                <c:pt idx="6">
                  <c:v>44877</c:v>
                </c:pt>
                <c:pt idx="7">
                  <c:v>44884</c:v>
                </c:pt>
                <c:pt idx="8">
                  <c:v>44891</c:v>
                </c:pt>
                <c:pt idx="9">
                  <c:v>44898</c:v>
                </c:pt>
                <c:pt idx="10">
                  <c:v>44905</c:v>
                </c:pt>
                <c:pt idx="11">
                  <c:v>44912</c:v>
                </c:pt>
                <c:pt idx="12">
                  <c:v>44919</c:v>
                </c:pt>
                <c:pt idx="13">
                  <c:v>44926</c:v>
                </c:pt>
                <c:pt idx="14">
                  <c:v>44933</c:v>
                </c:pt>
                <c:pt idx="15">
                  <c:v>44940</c:v>
                </c:pt>
                <c:pt idx="16">
                  <c:v>44947</c:v>
                </c:pt>
                <c:pt idx="17">
                  <c:v>44954</c:v>
                </c:pt>
                <c:pt idx="18">
                  <c:v>44961</c:v>
                </c:pt>
                <c:pt idx="19">
                  <c:v>44968</c:v>
                </c:pt>
                <c:pt idx="20">
                  <c:v>44975</c:v>
                </c:pt>
                <c:pt idx="21">
                  <c:v>44982</c:v>
                </c:pt>
              </c:numCache>
            </c:numRef>
          </c:cat>
          <c:val>
            <c:numRef>
              <c:f>AnalysisReport!$F$7:$F$28</c:f>
              <c:numCache>
                <c:formatCode>0.00%</c:formatCode>
                <c:ptCount val="22"/>
                <c:pt idx="0">
                  <c:v>3.7851037851037848E-2</c:v>
                </c:pt>
                <c:pt idx="1">
                  <c:v>7.5702075702075697E-2</c:v>
                </c:pt>
                <c:pt idx="2">
                  <c:v>0.10744810744810745</c:v>
                </c:pt>
                <c:pt idx="3">
                  <c:v>0.14529914529914531</c:v>
                </c:pt>
                <c:pt idx="4">
                  <c:v>0.19413919413919414</c:v>
                </c:pt>
                <c:pt idx="5">
                  <c:v>0.24297924297924298</c:v>
                </c:pt>
                <c:pt idx="6">
                  <c:v>0.29181929181929184</c:v>
                </c:pt>
                <c:pt idx="7">
                  <c:v>0.34065934065934067</c:v>
                </c:pt>
                <c:pt idx="8">
                  <c:v>0.3894993894993895</c:v>
                </c:pt>
                <c:pt idx="9">
                  <c:v>0.45054945054945056</c:v>
                </c:pt>
                <c:pt idx="10">
                  <c:v>0.51770451770451775</c:v>
                </c:pt>
                <c:pt idx="11">
                  <c:v>0.57264957264957261</c:v>
                </c:pt>
                <c:pt idx="12">
                  <c:v>0.62759462759462759</c:v>
                </c:pt>
                <c:pt idx="13">
                  <c:v>0.67643467643467647</c:v>
                </c:pt>
                <c:pt idx="14">
                  <c:v>0.73137973137973133</c:v>
                </c:pt>
                <c:pt idx="15">
                  <c:v>0.78021978021978022</c:v>
                </c:pt>
                <c:pt idx="16">
                  <c:v>0.82295482295482292</c:v>
                </c:pt>
                <c:pt idx="17">
                  <c:v>0.84493284493284493</c:v>
                </c:pt>
                <c:pt idx="18">
                  <c:v>0.88156288156288154</c:v>
                </c:pt>
                <c:pt idx="19">
                  <c:v>0.92429792429792434</c:v>
                </c:pt>
                <c:pt idx="20">
                  <c:v>0.96703296703296704</c:v>
                </c:pt>
                <c:pt idx="21">
                  <c:v>1</c:v>
                </c:pt>
              </c:numCache>
            </c:numRef>
          </c:val>
          <c:smooth val="0"/>
          <c:extLst>
            <c:ext xmlns:c16="http://schemas.microsoft.com/office/drawing/2014/chart" uri="{C3380CC4-5D6E-409C-BE32-E72D297353CC}">
              <c16:uniqueId val="{00000000-9E6B-4754-B01F-027A17D5F64A}"/>
            </c:ext>
          </c:extLst>
        </c:ser>
        <c:ser>
          <c:idx val="1"/>
          <c:order val="1"/>
          <c:tx>
            <c:strRef>
              <c:f>AnalysisReport!$I$6</c:f>
              <c:strCache>
                <c:ptCount val="1"/>
                <c:pt idx="0">
                  <c:v>실적기성 진척율</c:v>
                </c:pt>
              </c:strCache>
            </c:strRef>
          </c:tx>
          <c:cat>
            <c:numRef>
              <c:f>AnalysisReport!$C$7:$C$28</c:f>
              <c:numCache>
                <c:formatCode>m/d/yyyy</c:formatCode>
                <c:ptCount val="22"/>
                <c:pt idx="0">
                  <c:v>44835</c:v>
                </c:pt>
                <c:pt idx="1">
                  <c:v>44842</c:v>
                </c:pt>
                <c:pt idx="2">
                  <c:v>44849</c:v>
                </c:pt>
                <c:pt idx="3">
                  <c:v>44856</c:v>
                </c:pt>
                <c:pt idx="4">
                  <c:v>44863</c:v>
                </c:pt>
                <c:pt idx="5">
                  <c:v>44870</c:v>
                </c:pt>
                <c:pt idx="6">
                  <c:v>44877</c:v>
                </c:pt>
                <c:pt idx="7">
                  <c:v>44884</c:v>
                </c:pt>
                <c:pt idx="8">
                  <c:v>44891</c:v>
                </c:pt>
                <c:pt idx="9">
                  <c:v>44898</c:v>
                </c:pt>
                <c:pt idx="10">
                  <c:v>44905</c:v>
                </c:pt>
                <c:pt idx="11">
                  <c:v>44912</c:v>
                </c:pt>
                <c:pt idx="12">
                  <c:v>44919</c:v>
                </c:pt>
                <c:pt idx="13">
                  <c:v>44926</c:v>
                </c:pt>
                <c:pt idx="14">
                  <c:v>44933</c:v>
                </c:pt>
                <c:pt idx="15">
                  <c:v>44940</c:v>
                </c:pt>
                <c:pt idx="16">
                  <c:v>44947</c:v>
                </c:pt>
                <c:pt idx="17">
                  <c:v>44954</c:v>
                </c:pt>
                <c:pt idx="18">
                  <c:v>44961</c:v>
                </c:pt>
                <c:pt idx="19">
                  <c:v>44968</c:v>
                </c:pt>
                <c:pt idx="20">
                  <c:v>44975</c:v>
                </c:pt>
                <c:pt idx="21">
                  <c:v>44982</c:v>
                </c:pt>
              </c:numCache>
            </c:numRef>
          </c:cat>
          <c:val>
            <c:numRef>
              <c:f>AnalysisReport!$I$7:$I$28</c:f>
              <c:numCache>
                <c:formatCode>0.00%</c:formatCode>
                <c:ptCount val="22"/>
                <c:pt idx="0">
                  <c:v>0</c:v>
                </c:pt>
                <c:pt idx="1">
                  <c:v>0</c:v>
                </c:pt>
              </c:numCache>
            </c:numRef>
          </c:val>
          <c:smooth val="0"/>
          <c:extLst>
            <c:ext xmlns:c16="http://schemas.microsoft.com/office/drawing/2014/chart" uri="{C3380CC4-5D6E-409C-BE32-E72D297353CC}">
              <c16:uniqueId val="{00000001-9E6B-4754-B01F-027A17D5F64A}"/>
            </c:ext>
          </c:extLst>
        </c:ser>
        <c:ser>
          <c:idx val="2"/>
          <c:order val="2"/>
          <c:tx>
            <c:strRef>
              <c:f>AnalysisReport!$L$6</c:f>
              <c:strCache>
                <c:ptCount val="1"/>
                <c:pt idx="0">
                  <c:v>실제작업량 진척율</c:v>
                </c:pt>
              </c:strCache>
            </c:strRef>
          </c:tx>
          <c:cat>
            <c:numRef>
              <c:f>AnalysisReport!$C$7:$C$28</c:f>
              <c:numCache>
                <c:formatCode>m/d/yyyy</c:formatCode>
                <c:ptCount val="22"/>
                <c:pt idx="0">
                  <c:v>44835</c:v>
                </c:pt>
                <c:pt idx="1">
                  <c:v>44842</c:v>
                </c:pt>
                <c:pt idx="2">
                  <c:v>44849</c:v>
                </c:pt>
                <c:pt idx="3">
                  <c:v>44856</c:v>
                </c:pt>
                <c:pt idx="4">
                  <c:v>44863</c:v>
                </c:pt>
                <c:pt idx="5">
                  <c:v>44870</c:v>
                </c:pt>
                <c:pt idx="6">
                  <c:v>44877</c:v>
                </c:pt>
                <c:pt idx="7">
                  <c:v>44884</c:v>
                </c:pt>
                <c:pt idx="8">
                  <c:v>44891</c:v>
                </c:pt>
                <c:pt idx="9">
                  <c:v>44898</c:v>
                </c:pt>
                <c:pt idx="10">
                  <c:v>44905</c:v>
                </c:pt>
                <c:pt idx="11">
                  <c:v>44912</c:v>
                </c:pt>
                <c:pt idx="12">
                  <c:v>44919</c:v>
                </c:pt>
                <c:pt idx="13">
                  <c:v>44926</c:v>
                </c:pt>
                <c:pt idx="14">
                  <c:v>44933</c:v>
                </c:pt>
                <c:pt idx="15">
                  <c:v>44940</c:v>
                </c:pt>
                <c:pt idx="16">
                  <c:v>44947</c:v>
                </c:pt>
                <c:pt idx="17">
                  <c:v>44954</c:v>
                </c:pt>
                <c:pt idx="18">
                  <c:v>44961</c:v>
                </c:pt>
                <c:pt idx="19">
                  <c:v>44968</c:v>
                </c:pt>
                <c:pt idx="20">
                  <c:v>44975</c:v>
                </c:pt>
                <c:pt idx="21">
                  <c:v>44982</c:v>
                </c:pt>
              </c:numCache>
            </c:numRef>
          </c:cat>
          <c:val>
            <c:numRef>
              <c:f>AnalysisReport!$L$7:$L$28</c:f>
              <c:numCache>
                <c:formatCode>0.00%</c:formatCode>
                <c:ptCount val="22"/>
                <c:pt idx="0">
                  <c:v>0</c:v>
                </c:pt>
                <c:pt idx="1">
                  <c:v>0</c:v>
                </c:pt>
              </c:numCache>
            </c:numRef>
          </c:val>
          <c:smooth val="0"/>
          <c:extLst>
            <c:ext xmlns:c16="http://schemas.microsoft.com/office/drawing/2014/chart" uri="{C3380CC4-5D6E-409C-BE32-E72D297353CC}">
              <c16:uniqueId val="{00000002-9E6B-4754-B01F-027A17D5F64A}"/>
            </c:ext>
          </c:extLst>
        </c:ser>
        <c:dLbls>
          <c:showLegendKey val="0"/>
          <c:showVal val="0"/>
          <c:showCatName val="0"/>
          <c:showSerName val="0"/>
          <c:showPercent val="0"/>
          <c:showBubbleSize val="0"/>
        </c:dLbls>
        <c:marker val="1"/>
        <c:smooth val="0"/>
        <c:axId val="803284208"/>
        <c:axId val="803283792"/>
      </c:lineChart>
      <c:dateAx>
        <c:axId val="803284208"/>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803283792"/>
        <c:crosses val="autoZero"/>
        <c:auto val="1"/>
        <c:lblOffset val="100"/>
        <c:baseTimeUnit val="days"/>
      </c:dateAx>
      <c:valAx>
        <c:axId val="803283792"/>
        <c:scaling>
          <c:orientation val="minMax"/>
        </c:scaling>
        <c:delete val="0"/>
        <c:axPos val="l"/>
        <c:majorGridlines/>
        <c:numFmt formatCode="0.00%" sourceLinked="1"/>
        <c:majorTickMark val="out"/>
        <c:minorTickMark val="none"/>
        <c:tickLblPos val="nextTo"/>
        <c:crossAx val="803284208"/>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000000-0008-0000-0200-0000EF0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00000000-0008-0000-0200-0000B83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00000000-0008-0000-0200-0000F95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00000000-0008-0000-0200-0000FE5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77</xdr:row>
      <xdr:rowOff>9525</xdr:rowOff>
    </xdr:from>
    <xdr:to>
      <xdr:col>32</xdr:col>
      <xdr:colOff>0</xdr:colOff>
      <xdr:row>77</xdr:row>
      <xdr:rowOff>123825</xdr:rowOff>
    </xdr:to>
    <xdr:sp macro="" textlink="">
      <xdr:nvSpPr>
        <xdr:cNvPr id="12" name="69">
          <a:extLst>
            <a:ext uri="{FF2B5EF4-FFF2-40B4-BE49-F238E27FC236}">
              <a16:creationId xmlns:a16="http://schemas.microsoft.com/office/drawing/2014/main" id="{89B4CB78-E216-044E-4E1A-6FFBCA33026D}"/>
            </a:ext>
          </a:extLst>
        </xdr:cNvPr>
        <xdr:cNvSpPr/>
      </xdr:nvSpPr>
      <xdr:spPr>
        <a:xfrm>
          <a:off x="17904823" y="11791950"/>
          <a:ext cx="68380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77</xdr:row>
      <xdr:rowOff>66675</xdr:rowOff>
    </xdr:from>
    <xdr:to>
      <xdr:col>31</xdr:col>
      <xdr:colOff>521698</xdr:colOff>
      <xdr:row>77</xdr:row>
      <xdr:rowOff>66675</xdr:rowOff>
    </xdr:to>
    <xdr:cxnSp macro="">
      <xdr:nvCxnSpPr>
        <xdr:cNvPr id="13" name="직선 화살표 연결선 12">
          <a:extLst>
            <a:ext uri="{FF2B5EF4-FFF2-40B4-BE49-F238E27FC236}">
              <a16:creationId xmlns:a16="http://schemas.microsoft.com/office/drawing/2014/main" id="{BEA527C1-72D8-4100-2C61-09E70D1BCC27}"/>
            </a:ext>
          </a:extLst>
        </xdr:cNvPr>
        <xdr:cNvCxnSpPr/>
      </xdr:nvCxnSpPr>
      <xdr:spPr>
        <a:xfrm>
          <a:off x="17904823" y="118491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76</xdr:row>
      <xdr:rowOff>9525</xdr:rowOff>
    </xdr:from>
    <xdr:to>
      <xdr:col>32</xdr:col>
      <xdr:colOff>0</xdr:colOff>
      <xdr:row>76</xdr:row>
      <xdr:rowOff>123825</xdr:rowOff>
    </xdr:to>
    <xdr:sp macro="" textlink="">
      <xdr:nvSpPr>
        <xdr:cNvPr id="14" name="68">
          <a:extLst>
            <a:ext uri="{FF2B5EF4-FFF2-40B4-BE49-F238E27FC236}">
              <a16:creationId xmlns:a16="http://schemas.microsoft.com/office/drawing/2014/main" id="{9966904E-9653-0F1A-BED0-F19075AF1BF4}"/>
            </a:ext>
          </a:extLst>
        </xdr:cNvPr>
        <xdr:cNvSpPr/>
      </xdr:nvSpPr>
      <xdr:spPr>
        <a:xfrm>
          <a:off x="17904823" y="1163955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76</xdr:row>
      <xdr:rowOff>66675</xdr:rowOff>
    </xdr:from>
    <xdr:to>
      <xdr:col>31</xdr:col>
      <xdr:colOff>521698</xdr:colOff>
      <xdr:row>76</xdr:row>
      <xdr:rowOff>66675</xdr:rowOff>
    </xdr:to>
    <xdr:cxnSp macro="">
      <xdr:nvCxnSpPr>
        <xdr:cNvPr id="15" name="직선 화살표 연결선 14">
          <a:extLst>
            <a:ext uri="{FF2B5EF4-FFF2-40B4-BE49-F238E27FC236}">
              <a16:creationId xmlns:a16="http://schemas.microsoft.com/office/drawing/2014/main" id="{32674543-874E-BD67-9AA4-15EB5C756F6A}"/>
            </a:ext>
          </a:extLst>
        </xdr:cNvPr>
        <xdr:cNvCxnSpPr/>
      </xdr:nvCxnSpPr>
      <xdr:spPr>
        <a:xfrm>
          <a:off x="17904823" y="116967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63</xdr:row>
      <xdr:rowOff>121920</xdr:rowOff>
    </xdr:from>
    <xdr:to>
      <xdr:col>32</xdr:col>
      <xdr:colOff>0</xdr:colOff>
      <xdr:row>63</xdr:row>
      <xdr:rowOff>236220</xdr:rowOff>
    </xdr:to>
    <xdr:sp macro="" textlink="">
      <xdr:nvSpPr>
        <xdr:cNvPr id="40" name="55">
          <a:extLst>
            <a:ext uri="{FF2B5EF4-FFF2-40B4-BE49-F238E27FC236}">
              <a16:creationId xmlns:a16="http://schemas.microsoft.com/office/drawing/2014/main" id="{D981D96B-45FB-BBF3-677C-84520EB011C4}"/>
            </a:ext>
          </a:extLst>
        </xdr:cNvPr>
        <xdr:cNvSpPr/>
      </xdr:nvSpPr>
      <xdr:spPr>
        <a:xfrm>
          <a:off x="17904823" y="928497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63</xdr:row>
      <xdr:rowOff>179070</xdr:rowOff>
    </xdr:from>
    <xdr:to>
      <xdr:col>31</xdr:col>
      <xdr:colOff>521698</xdr:colOff>
      <xdr:row>63</xdr:row>
      <xdr:rowOff>179070</xdr:rowOff>
    </xdr:to>
    <xdr:cxnSp macro="">
      <xdr:nvCxnSpPr>
        <xdr:cNvPr id="41" name="직선 화살표 연결선 40">
          <a:extLst>
            <a:ext uri="{FF2B5EF4-FFF2-40B4-BE49-F238E27FC236}">
              <a16:creationId xmlns:a16="http://schemas.microsoft.com/office/drawing/2014/main" id="{FD9F8385-6454-94D2-9016-831B0C04C331}"/>
            </a:ext>
          </a:extLst>
        </xdr:cNvPr>
        <xdr:cNvCxnSpPr/>
      </xdr:nvCxnSpPr>
      <xdr:spPr>
        <a:xfrm>
          <a:off x="17904823" y="93421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16</xdr:row>
      <xdr:rowOff>20955</xdr:rowOff>
    </xdr:from>
    <xdr:to>
      <xdr:col>32</xdr:col>
      <xdr:colOff>0</xdr:colOff>
      <xdr:row>16</xdr:row>
      <xdr:rowOff>135255</xdr:rowOff>
    </xdr:to>
    <xdr:sp macro="" textlink="">
      <xdr:nvSpPr>
        <xdr:cNvPr id="14013" name="13">
          <a:extLst>
            <a:ext uri="{FF2B5EF4-FFF2-40B4-BE49-F238E27FC236}">
              <a16:creationId xmlns:a16="http://schemas.microsoft.com/office/drawing/2014/main" id="{0B8708DD-E1EA-970E-244C-42B612BA6E94}"/>
            </a:ext>
          </a:extLst>
        </xdr:cNvPr>
        <xdr:cNvSpPr/>
      </xdr:nvSpPr>
      <xdr:spPr>
        <a:xfrm>
          <a:off x="17904823" y="26022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16</xdr:row>
      <xdr:rowOff>78105</xdr:rowOff>
    </xdr:from>
    <xdr:to>
      <xdr:col>31</xdr:col>
      <xdr:colOff>521698</xdr:colOff>
      <xdr:row>16</xdr:row>
      <xdr:rowOff>78105</xdr:rowOff>
    </xdr:to>
    <xdr:cxnSp macro="">
      <xdr:nvCxnSpPr>
        <xdr:cNvPr id="14014" name="직선 화살표 연결선 14013">
          <a:extLst>
            <a:ext uri="{FF2B5EF4-FFF2-40B4-BE49-F238E27FC236}">
              <a16:creationId xmlns:a16="http://schemas.microsoft.com/office/drawing/2014/main" id="{2677531E-BC65-BC5A-BCF1-54D19945CEB3}"/>
            </a:ext>
          </a:extLst>
        </xdr:cNvPr>
        <xdr:cNvCxnSpPr/>
      </xdr:nvCxnSpPr>
      <xdr:spPr>
        <a:xfrm>
          <a:off x="17904823" y="265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15</xdr:row>
      <xdr:rowOff>20955</xdr:rowOff>
    </xdr:from>
    <xdr:to>
      <xdr:col>32</xdr:col>
      <xdr:colOff>0</xdr:colOff>
      <xdr:row>15</xdr:row>
      <xdr:rowOff>135255</xdr:rowOff>
    </xdr:to>
    <xdr:sp macro="" textlink="">
      <xdr:nvSpPr>
        <xdr:cNvPr id="14015" name="12">
          <a:extLst>
            <a:ext uri="{FF2B5EF4-FFF2-40B4-BE49-F238E27FC236}">
              <a16:creationId xmlns:a16="http://schemas.microsoft.com/office/drawing/2014/main" id="{863AF412-FAB3-D778-AF0D-A618DA6F98D6}"/>
            </a:ext>
          </a:extLst>
        </xdr:cNvPr>
        <xdr:cNvSpPr/>
      </xdr:nvSpPr>
      <xdr:spPr>
        <a:xfrm>
          <a:off x="17904823" y="2449830"/>
          <a:ext cx="39424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15</xdr:row>
      <xdr:rowOff>78105</xdr:rowOff>
    </xdr:from>
    <xdr:to>
      <xdr:col>31</xdr:col>
      <xdr:colOff>521698</xdr:colOff>
      <xdr:row>15</xdr:row>
      <xdr:rowOff>78105</xdr:rowOff>
    </xdr:to>
    <xdr:cxnSp macro="">
      <xdr:nvCxnSpPr>
        <xdr:cNvPr id="22976" name="직선 화살표 연결선 22975">
          <a:extLst>
            <a:ext uri="{FF2B5EF4-FFF2-40B4-BE49-F238E27FC236}">
              <a16:creationId xmlns:a16="http://schemas.microsoft.com/office/drawing/2014/main" id="{D590F58B-3A1A-CBB3-EC80-3550E6A072E3}"/>
            </a:ext>
          </a:extLst>
        </xdr:cNvPr>
        <xdr:cNvCxnSpPr/>
      </xdr:nvCxnSpPr>
      <xdr:spPr>
        <a:xfrm>
          <a:off x="17904823" y="250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14</xdr:row>
      <xdr:rowOff>20955</xdr:rowOff>
    </xdr:from>
    <xdr:to>
      <xdr:col>32</xdr:col>
      <xdr:colOff>0</xdr:colOff>
      <xdr:row>14</xdr:row>
      <xdr:rowOff>135255</xdr:rowOff>
    </xdr:to>
    <xdr:sp macro="" textlink="">
      <xdr:nvSpPr>
        <xdr:cNvPr id="22977" name="11">
          <a:extLst>
            <a:ext uri="{FF2B5EF4-FFF2-40B4-BE49-F238E27FC236}">
              <a16:creationId xmlns:a16="http://schemas.microsoft.com/office/drawing/2014/main" id="{18D0EB29-0452-7E67-93B8-9D24158F8E41}"/>
            </a:ext>
          </a:extLst>
        </xdr:cNvPr>
        <xdr:cNvSpPr/>
      </xdr:nvSpPr>
      <xdr:spPr>
        <a:xfrm>
          <a:off x="17904823" y="2297430"/>
          <a:ext cx="9733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14</xdr:row>
      <xdr:rowOff>78105</xdr:rowOff>
    </xdr:from>
    <xdr:to>
      <xdr:col>31</xdr:col>
      <xdr:colOff>521698</xdr:colOff>
      <xdr:row>14</xdr:row>
      <xdr:rowOff>78105</xdr:rowOff>
    </xdr:to>
    <xdr:cxnSp macro="">
      <xdr:nvCxnSpPr>
        <xdr:cNvPr id="22978" name="직선 화살표 연결선 22977">
          <a:extLst>
            <a:ext uri="{FF2B5EF4-FFF2-40B4-BE49-F238E27FC236}">
              <a16:creationId xmlns:a16="http://schemas.microsoft.com/office/drawing/2014/main" id="{505986CD-6A8A-365F-4FFE-8FC831C3BE55}"/>
            </a:ext>
          </a:extLst>
        </xdr:cNvPr>
        <xdr:cNvCxnSpPr/>
      </xdr:nvCxnSpPr>
      <xdr:spPr>
        <a:xfrm>
          <a:off x="17904823" y="235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10</xdr:row>
      <xdr:rowOff>20955</xdr:rowOff>
    </xdr:from>
    <xdr:to>
      <xdr:col>32</xdr:col>
      <xdr:colOff>0</xdr:colOff>
      <xdr:row>10</xdr:row>
      <xdr:rowOff>135255</xdr:rowOff>
    </xdr:to>
    <xdr:sp macro="" textlink="">
      <xdr:nvSpPr>
        <xdr:cNvPr id="22985" name="7">
          <a:extLst>
            <a:ext uri="{FF2B5EF4-FFF2-40B4-BE49-F238E27FC236}">
              <a16:creationId xmlns:a16="http://schemas.microsoft.com/office/drawing/2014/main" id="{E986B321-7A64-90C7-DCBE-B42B9C01A1BB}"/>
            </a:ext>
          </a:extLst>
        </xdr:cNvPr>
        <xdr:cNvSpPr/>
      </xdr:nvSpPr>
      <xdr:spPr>
        <a:xfrm>
          <a:off x="17904823" y="1687830"/>
          <a:ext cx="31450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10</xdr:row>
      <xdr:rowOff>78105</xdr:rowOff>
    </xdr:from>
    <xdr:to>
      <xdr:col>31</xdr:col>
      <xdr:colOff>521698</xdr:colOff>
      <xdr:row>10</xdr:row>
      <xdr:rowOff>78105</xdr:rowOff>
    </xdr:to>
    <xdr:cxnSp macro="">
      <xdr:nvCxnSpPr>
        <xdr:cNvPr id="22986" name="직선 화살표 연결선 22985">
          <a:extLst>
            <a:ext uri="{FF2B5EF4-FFF2-40B4-BE49-F238E27FC236}">
              <a16:creationId xmlns:a16="http://schemas.microsoft.com/office/drawing/2014/main" id="{D36234C0-1427-DA5F-B84E-F2B1C64B63B7}"/>
            </a:ext>
          </a:extLst>
        </xdr:cNvPr>
        <xdr:cNvCxnSpPr/>
      </xdr:nvCxnSpPr>
      <xdr:spPr>
        <a:xfrm>
          <a:off x="17904823" y="174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9</xdr:row>
      <xdr:rowOff>20955</xdr:rowOff>
    </xdr:from>
    <xdr:to>
      <xdr:col>32</xdr:col>
      <xdr:colOff>0</xdr:colOff>
      <xdr:row>9</xdr:row>
      <xdr:rowOff>135255</xdr:rowOff>
    </xdr:to>
    <xdr:sp macro="" textlink="">
      <xdr:nvSpPr>
        <xdr:cNvPr id="22987" name="6">
          <a:extLst>
            <a:ext uri="{FF2B5EF4-FFF2-40B4-BE49-F238E27FC236}">
              <a16:creationId xmlns:a16="http://schemas.microsoft.com/office/drawing/2014/main" id="{A2E855EE-1459-2C62-D527-218E03D38885}"/>
            </a:ext>
          </a:extLst>
        </xdr:cNvPr>
        <xdr:cNvSpPr/>
      </xdr:nvSpPr>
      <xdr:spPr>
        <a:xfrm>
          <a:off x="17904823" y="1535430"/>
          <a:ext cx="31450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9</xdr:row>
      <xdr:rowOff>78105</xdr:rowOff>
    </xdr:from>
    <xdr:to>
      <xdr:col>31</xdr:col>
      <xdr:colOff>521698</xdr:colOff>
      <xdr:row>9</xdr:row>
      <xdr:rowOff>78105</xdr:rowOff>
    </xdr:to>
    <xdr:cxnSp macro="">
      <xdr:nvCxnSpPr>
        <xdr:cNvPr id="22988" name="직선 화살표 연결선 22987">
          <a:extLst>
            <a:ext uri="{FF2B5EF4-FFF2-40B4-BE49-F238E27FC236}">
              <a16:creationId xmlns:a16="http://schemas.microsoft.com/office/drawing/2014/main" id="{1DA3EFD4-0F64-E58B-1E30-ACED4E2E39BB}"/>
            </a:ext>
          </a:extLst>
        </xdr:cNvPr>
        <xdr:cNvCxnSpPr/>
      </xdr:nvCxnSpPr>
      <xdr:spPr>
        <a:xfrm>
          <a:off x="17904823" y="159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8</xdr:row>
      <xdr:rowOff>20955</xdr:rowOff>
    </xdr:from>
    <xdr:to>
      <xdr:col>32</xdr:col>
      <xdr:colOff>0</xdr:colOff>
      <xdr:row>8</xdr:row>
      <xdr:rowOff>135255</xdr:rowOff>
    </xdr:to>
    <xdr:sp macro="" textlink="">
      <xdr:nvSpPr>
        <xdr:cNvPr id="22989" name="5">
          <a:extLst>
            <a:ext uri="{FF2B5EF4-FFF2-40B4-BE49-F238E27FC236}">
              <a16:creationId xmlns:a16="http://schemas.microsoft.com/office/drawing/2014/main" id="{6CFA8133-53ED-2AC0-D3DE-2CDEA3AB3613}"/>
            </a:ext>
          </a:extLst>
        </xdr:cNvPr>
        <xdr:cNvSpPr/>
      </xdr:nvSpPr>
      <xdr:spPr>
        <a:xfrm>
          <a:off x="17904823" y="138303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8</xdr:row>
      <xdr:rowOff>78105</xdr:rowOff>
    </xdr:from>
    <xdr:to>
      <xdr:col>31</xdr:col>
      <xdr:colOff>521698</xdr:colOff>
      <xdr:row>8</xdr:row>
      <xdr:rowOff>78105</xdr:rowOff>
    </xdr:to>
    <xdr:cxnSp macro="">
      <xdr:nvCxnSpPr>
        <xdr:cNvPr id="22990" name="직선 화살표 연결선 22989">
          <a:extLst>
            <a:ext uri="{FF2B5EF4-FFF2-40B4-BE49-F238E27FC236}">
              <a16:creationId xmlns:a16="http://schemas.microsoft.com/office/drawing/2014/main" id="{D0170CD6-CA5C-9362-8DAD-A74CBBC7546D}"/>
            </a:ext>
          </a:extLst>
        </xdr:cNvPr>
        <xdr:cNvCxnSpPr/>
      </xdr:nvCxnSpPr>
      <xdr:spPr>
        <a:xfrm>
          <a:off x="17904823" y="144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6</xdr:row>
      <xdr:rowOff>20955</xdr:rowOff>
    </xdr:from>
    <xdr:to>
      <xdr:col>32</xdr:col>
      <xdr:colOff>0</xdr:colOff>
      <xdr:row>6</xdr:row>
      <xdr:rowOff>135255</xdr:rowOff>
    </xdr:to>
    <xdr:sp macro="" textlink="">
      <xdr:nvSpPr>
        <xdr:cNvPr id="22993" name="3">
          <a:extLst>
            <a:ext uri="{FF2B5EF4-FFF2-40B4-BE49-F238E27FC236}">
              <a16:creationId xmlns:a16="http://schemas.microsoft.com/office/drawing/2014/main" id="{70A690DF-BC21-019F-A1B3-50CF2D43B8C9}"/>
            </a:ext>
          </a:extLst>
        </xdr:cNvPr>
        <xdr:cNvSpPr/>
      </xdr:nvSpPr>
      <xdr:spPr>
        <a:xfrm>
          <a:off x="17904823" y="1078230"/>
          <a:ext cx="2080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6</xdr:row>
      <xdr:rowOff>78105</xdr:rowOff>
    </xdr:from>
    <xdr:to>
      <xdr:col>31</xdr:col>
      <xdr:colOff>521698</xdr:colOff>
      <xdr:row>6</xdr:row>
      <xdr:rowOff>78105</xdr:rowOff>
    </xdr:to>
    <xdr:cxnSp macro="">
      <xdr:nvCxnSpPr>
        <xdr:cNvPr id="22994" name="직선 화살표 연결선 22993">
          <a:extLst>
            <a:ext uri="{FF2B5EF4-FFF2-40B4-BE49-F238E27FC236}">
              <a16:creationId xmlns:a16="http://schemas.microsoft.com/office/drawing/2014/main" id="{50827BF9-0F3F-0800-49B1-21E018350457}"/>
            </a:ext>
          </a:extLst>
        </xdr:cNvPr>
        <xdr:cNvCxnSpPr/>
      </xdr:nvCxnSpPr>
      <xdr:spPr>
        <a:xfrm>
          <a:off x="17904823" y="113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5</xdr:row>
      <xdr:rowOff>20955</xdr:rowOff>
    </xdr:from>
    <xdr:to>
      <xdr:col>32</xdr:col>
      <xdr:colOff>0</xdr:colOff>
      <xdr:row>5</xdr:row>
      <xdr:rowOff>135255</xdr:rowOff>
    </xdr:to>
    <xdr:sp macro="" textlink="">
      <xdr:nvSpPr>
        <xdr:cNvPr id="22995" name="2">
          <a:extLst>
            <a:ext uri="{FF2B5EF4-FFF2-40B4-BE49-F238E27FC236}">
              <a16:creationId xmlns:a16="http://schemas.microsoft.com/office/drawing/2014/main" id="{C843901A-34FB-4143-BEF3-2C011D3ACD70}"/>
            </a:ext>
          </a:extLst>
        </xdr:cNvPr>
        <xdr:cNvSpPr/>
      </xdr:nvSpPr>
      <xdr:spPr>
        <a:xfrm>
          <a:off x="17904823" y="925830"/>
          <a:ext cx="22878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5</xdr:row>
      <xdr:rowOff>78105</xdr:rowOff>
    </xdr:from>
    <xdr:to>
      <xdr:col>31</xdr:col>
      <xdr:colOff>521698</xdr:colOff>
      <xdr:row>5</xdr:row>
      <xdr:rowOff>78105</xdr:rowOff>
    </xdr:to>
    <xdr:cxnSp macro="">
      <xdr:nvCxnSpPr>
        <xdr:cNvPr id="22996" name="직선 화살표 연결선 22995">
          <a:extLst>
            <a:ext uri="{FF2B5EF4-FFF2-40B4-BE49-F238E27FC236}">
              <a16:creationId xmlns:a16="http://schemas.microsoft.com/office/drawing/2014/main" id="{600BEBCA-7EC7-4F8A-19DC-AA5E570A4DC1}"/>
            </a:ext>
          </a:extLst>
        </xdr:cNvPr>
        <xdr:cNvCxnSpPr/>
      </xdr:nvCxnSpPr>
      <xdr:spPr>
        <a:xfrm>
          <a:off x="17904823" y="98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4</xdr:row>
      <xdr:rowOff>20955</xdr:rowOff>
    </xdr:from>
    <xdr:to>
      <xdr:col>32</xdr:col>
      <xdr:colOff>0</xdr:colOff>
      <xdr:row>4</xdr:row>
      <xdr:rowOff>135255</xdr:rowOff>
    </xdr:to>
    <xdr:sp macro="" textlink="">
      <xdr:nvSpPr>
        <xdr:cNvPr id="22997" name="1">
          <a:extLst>
            <a:ext uri="{FF2B5EF4-FFF2-40B4-BE49-F238E27FC236}">
              <a16:creationId xmlns:a16="http://schemas.microsoft.com/office/drawing/2014/main" id="{31373F03-F9D3-FCCC-4E13-34ACCB6DA9FE}"/>
            </a:ext>
          </a:extLst>
        </xdr:cNvPr>
        <xdr:cNvSpPr/>
      </xdr:nvSpPr>
      <xdr:spPr>
        <a:xfrm>
          <a:off x="17904823" y="77343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4</xdr:row>
      <xdr:rowOff>78105</xdr:rowOff>
    </xdr:from>
    <xdr:to>
      <xdr:col>31</xdr:col>
      <xdr:colOff>521698</xdr:colOff>
      <xdr:row>4</xdr:row>
      <xdr:rowOff>78105</xdr:rowOff>
    </xdr:to>
    <xdr:cxnSp macro="">
      <xdr:nvCxnSpPr>
        <xdr:cNvPr id="22998" name="직선 화살표 연결선 22997">
          <a:extLst>
            <a:ext uri="{FF2B5EF4-FFF2-40B4-BE49-F238E27FC236}">
              <a16:creationId xmlns:a16="http://schemas.microsoft.com/office/drawing/2014/main" id="{C9B3E5E8-7DD4-722A-A378-829A91546710}"/>
            </a:ext>
          </a:extLst>
        </xdr:cNvPr>
        <xdr:cNvCxnSpPr/>
      </xdr:nvCxnSpPr>
      <xdr:spPr>
        <a:xfrm>
          <a:off x="17904823" y="83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77</xdr:row>
      <xdr:rowOff>9525</xdr:rowOff>
    </xdr:from>
    <xdr:to>
      <xdr:col>32</xdr:col>
      <xdr:colOff>0</xdr:colOff>
      <xdr:row>77</xdr:row>
      <xdr:rowOff>123825</xdr:rowOff>
    </xdr:to>
    <xdr:sp macro="" textlink="">
      <xdr:nvSpPr>
        <xdr:cNvPr id="23009" name="69">
          <a:extLst>
            <a:ext uri="{FF2B5EF4-FFF2-40B4-BE49-F238E27FC236}">
              <a16:creationId xmlns:a16="http://schemas.microsoft.com/office/drawing/2014/main" id="{0C219B1C-6166-47D4-F136-39280F6445B1}"/>
            </a:ext>
          </a:extLst>
        </xdr:cNvPr>
        <xdr:cNvSpPr/>
      </xdr:nvSpPr>
      <xdr:spPr>
        <a:xfrm>
          <a:off x="17904823" y="11791950"/>
          <a:ext cx="68380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77</xdr:row>
      <xdr:rowOff>66675</xdr:rowOff>
    </xdr:from>
    <xdr:to>
      <xdr:col>31</xdr:col>
      <xdr:colOff>521698</xdr:colOff>
      <xdr:row>77</xdr:row>
      <xdr:rowOff>66675</xdr:rowOff>
    </xdr:to>
    <xdr:cxnSp macro="">
      <xdr:nvCxnSpPr>
        <xdr:cNvPr id="23010" name="직선 화살표 연결선 23009">
          <a:extLst>
            <a:ext uri="{FF2B5EF4-FFF2-40B4-BE49-F238E27FC236}">
              <a16:creationId xmlns:a16="http://schemas.microsoft.com/office/drawing/2014/main" id="{0B3E8964-640C-2581-3F46-F8262A56FC90}"/>
            </a:ext>
          </a:extLst>
        </xdr:cNvPr>
        <xdr:cNvCxnSpPr/>
      </xdr:nvCxnSpPr>
      <xdr:spPr>
        <a:xfrm>
          <a:off x="17904823" y="118491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76</xdr:row>
      <xdr:rowOff>9525</xdr:rowOff>
    </xdr:from>
    <xdr:to>
      <xdr:col>32</xdr:col>
      <xdr:colOff>0</xdr:colOff>
      <xdr:row>76</xdr:row>
      <xdr:rowOff>123825</xdr:rowOff>
    </xdr:to>
    <xdr:sp macro="" textlink="">
      <xdr:nvSpPr>
        <xdr:cNvPr id="23011" name="68">
          <a:extLst>
            <a:ext uri="{FF2B5EF4-FFF2-40B4-BE49-F238E27FC236}">
              <a16:creationId xmlns:a16="http://schemas.microsoft.com/office/drawing/2014/main" id="{D6A6D14E-A09F-ADF9-ED14-5B8A24FFEA81}"/>
            </a:ext>
          </a:extLst>
        </xdr:cNvPr>
        <xdr:cNvSpPr/>
      </xdr:nvSpPr>
      <xdr:spPr>
        <a:xfrm>
          <a:off x="17904823" y="1163955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76</xdr:row>
      <xdr:rowOff>66675</xdr:rowOff>
    </xdr:from>
    <xdr:to>
      <xdr:col>31</xdr:col>
      <xdr:colOff>521698</xdr:colOff>
      <xdr:row>76</xdr:row>
      <xdr:rowOff>66675</xdr:rowOff>
    </xdr:to>
    <xdr:cxnSp macro="">
      <xdr:nvCxnSpPr>
        <xdr:cNvPr id="23012" name="직선 화살표 연결선 23011">
          <a:extLst>
            <a:ext uri="{FF2B5EF4-FFF2-40B4-BE49-F238E27FC236}">
              <a16:creationId xmlns:a16="http://schemas.microsoft.com/office/drawing/2014/main" id="{0AB31854-AF3F-AE4E-9C8A-94AE5181F06C}"/>
            </a:ext>
          </a:extLst>
        </xdr:cNvPr>
        <xdr:cNvCxnSpPr/>
      </xdr:nvCxnSpPr>
      <xdr:spPr>
        <a:xfrm>
          <a:off x="17904823" y="116967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63</xdr:row>
      <xdr:rowOff>121920</xdr:rowOff>
    </xdr:from>
    <xdr:to>
      <xdr:col>32</xdr:col>
      <xdr:colOff>0</xdr:colOff>
      <xdr:row>63</xdr:row>
      <xdr:rowOff>236220</xdr:rowOff>
    </xdr:to>
    <xdr:sp macro="" textlink="">
      <xdr:nvSpPr>
        <xdr:cNvPr id="23039" name="55">
          <a:extLst>
            <a:ext uri="{FF2B5EF4-FFF2-40B4-BE49-F238E27FC236}">
              <a16:creationId xmlns:a16="http://schemas.microsoft.com/office/drawing/2014/main" id="{DEA512BD-8539-35D1-2BBA-DB2ECA6B0D08}"/>
            </a:ext>
          </a:extLst>
        </xdr:cNvPr>
        <xdr:cNvSpPr/>
      </xdr:nvSpPr>
      <xdr:spPr>
        <a:xfrm>
          <a:off x="17904823" y="928497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63</xdr:row>
      <xdr:rowOff>179070</xdr:rowOff>
    </xdr:from>
    <xdr:to>
      <xdr:col>31</xdr:col>
      <xdr:colOff>521698</xdr:colOff>
      <xdr:row>63</xdr:row>
      <xdr:rowOff>179070</xdr:rowOff>
    </xdr:to>
    <xdr:cxnSp macro="">
      <xdr:nvCxnSpPr>
        <xdr:cNvPr id="3776" name="직선 화살표 연결선 3775">
          <a:extLst>
            <a:ext uri="{FF2B5EF4-FFF2-40B4-BE49-F238E27FC236}">
              <a16:creationId xmlns:a16="http://schemas.microsoft.com/office/drawing/2014/main" id="{B865D39A-7A49-D38A-BF74-61571EB9B253}"/>
            </a:ext>
          </a:extLst>
        </xdr:cNvPr>
        <xdr:cNvCxnSpPr/>
      </xdr:nvCxnSpPr>
      <xdr:spPr>
        <a:xfrm>
          <a:off x="17904823" y="93421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16</xdr:row>
      <xdr:rowOff>20955</xdr:rowOff>
    </xdr:from>
    <xdr:to>
      <xdr:col>32</xdr:col>
      <xdr:colOff>0</xdr:colOff>
      <xdr:row>16</xdr:row>
      <xdr:rowOff>135255</xdr:rowOff>
    </xdr:to>
    <xdr:sp macro="" textlink="">
      <xdr:nvSpPr>
        <xdr:cNvPr id="46420" name="13">
          <a:extLst>
            <a:ext uri="{FF2B5EF4-FFF2-40B4-BE49-F238E27FC236}">
              <a16:creationId xmlns:a16="http://schemas.microsoft.com/office/drawing/2014/main" id="{8106E0C5-9C43-561B-75FE-E49B8EB310FE}"/>
            </a:ext>
          </a:extLst>
        </xdr:cNvPr>
        <xdr:cNvSpPr/>
      </xdr:nvSpPr>
      <xdr:spPr>
        <a:xfrm>
          <a:off x="17904823" y="26022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16</xdr:row>
      <xdr:rowOff>78105</xdr:rowOff>
    </xdr:from>
    <xdr:to>
      <xdr:col>31</xdr:col>
      <xdr:colOff>521698</xdr:colOff>
      <xdr:row>16</xdr:row>
      <xdr:rowOff>78105</xdr:rowOff>
    </xdr:to>
    <xdr:cxnSp macro="">
      <xdr:nvCxnSpPr>
        <xdr:cNvPr id="46421" name="직선 화살표 연결선 46420">
          <a:extLst>
            <a:ext uri="{FF2B5EF4-FFF2-40B4-BE49-F238E27FC236}">
              <a16:creationId xmlns:a16="http://schemas.microsoft.com/office/drawing/2014/main" id="{EC5D0714-8BB9-E28E-4917-84086A54D36D}"/>
            </a:ext>
          </a:extLst>
        </xdr:cNvPr>
        <xdr:cNvCxnSpPr/>
      </xdr:nvCxnSpPr>
      <xdr:spPr>
        <a:xfrm>
          <a:off x="17904823" y="265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15</xdr:row>
      <xdr:rowOff>20955</xdr:rowOff>
    </xdr:from>
    <xdr:to>
      <xdr:col>32</xdr:col>
      <xdr:colOff>0</xdr:colOff>
      <xdr:row>15</xdr:row>
      <xdr:rowOff>135255</xdr:rowOff>
    </xdr:to>
    <xdr:sp macro="" textlink="">
      <xdr:nvSpPr>
        <xdr:cNvPr id="46422" name="12">
          <a:extLst>
            <a:ext uri="{FF2B5EF4-FFF2-40B4-BE49-F238E27FC236}">
              <a16:creationId xmlns:a16="http://schemas.microsoft.com/office/drawing/2014/main" id="{B56C09DD-15D2-E4BA-0024-2B4533C9AA77}"/>
            </a:ext>
          </a:extLst>
        </xdr:cNvPr>
        <xdr:cNvSpPr/>
      </xdr:nvSpPr>
      <xdr:spPr>
        <a:xfrm>
          <a:off x="17904823" y="2449830"/>
          <a:ext cx="39424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15</xdr:row>
      <xdr:rowOff>78105</xdr:rowOff>
    </xdr:from>
    <xdr:to>
      <xdr:col>31</xdr:col>
      <xdr:colOff>521698</xdr:colOff>
      <xdr:row>15</xdr:row>
      <xdr:rowOff>78105</xdr:rowOff>
    </xdr:to>
    <xdr:cxnSp macro="">
      <xdr:nvCxnSpPr>
        <xdr:cNvPr id="46423" name="직선 화살표 연결선 46422">
          <a:extLst>
            <a:ext uri="{FF2B5EF4-FFF2-40B4-BE49-F238E27FC236}">
              <a16:creationId xmlns:a16="http://schemas.microsoft.com/office/drawing/2014/main" id="{1A4C2352-A529-1E89-C530-64A6BB460B19}"/>
            </a:ext>
          </a:extLst>
        </xdr:cNvPr>
        <xdr:cNvCxnSpPr/>
      </xdr:nvCxnSpPr>
      <xdr:spPr>
        <a:xfrm>
          <a:off x="17904823" y="250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14</xdr:row>
      <xdr:rowOff>20955</xdr:rowOff>
    </xdr:from>
    <xdr:to>
      <xdr:col>32</xdr:col>
      <xdr:colOff>0</xdr:colOff>
      <xdr:row>14</xdr:row>
      <xdr:rowOff>135255</xdr:rowOff>
    </xdr:to>
    <xdr:sp macro="" textlink="">
      <xdr:nvSpPr>
        <xdr:cNvPr id="46424" name="11">
          <a:extLst>
            <a:ext uri="{FF2B5EF4-FFF2-40B4-BE49-F238E27FC236}">
              <a16:creationId xmlns:a16="http://schemas.microsoft.com/office/drawing/2014/main" id="{6D9AB2CC-49CE-90AA-42AC-2017B8958FC8}"/>
            </a:ext>
          </a:extLst>
        </xdr:cNvPr>
        <xdr:cNvSpPr/>
      </xdr:nvSpPr>
      <xdr:spPr>
        <a:xfrm>
          <a:off x="17904823" y="2297430"/>
          <a:ext cx="9733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14</xdr:row>
      <xdr:rowOff>78105</xdr:rowOff>
    </xdr:from>
    <xdr:to>
      <xdr:col>31</xdr:col>
      <xdr:colOff>521698</xdr:colOff>
      <xdr:row>14</xdr:row>
      <xdr:rowOff>78105</xdr:rowOff>
    </xdr:to>
    <xdr:cxnSp macro="">
      <xdr:nvCxnSpPr>
        <xdr:cNvPr id="46425" name="직선 화살표 연결선 46424">
          <a:extLst>
            <a:ext uri="{FF2B5EF4-FFF2-40B4-BE49-F238E27FC236}">
              <a16:creationId xmlns:a16="http://schemas.microsoft.com/office/drawing/2014/main" id="{6EF1F160-766E-5438-1396-81A6191B5EFB}"/>
            </a:ext>
          </a:extLst>
        </xdr:cNvPr>
        <xdr:cNvCxnSpPr/>
      </xdr:nvCxnSpPr>
      <xdr:spPr>
        <a:xfrm>
          <a:off x="17904823" y="235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10</xdr:row>
      <xdr:rowOff>20955</xdr:rowOff>
    </xdr:from>
    <xdr:to>
      <xdr:col>32</xdr:col>
      <xdr:colOff>0</xdr:colOff>
      <xdr:row>10</xdr:row>
      <xdr:rowOff>135255</xdr:rowOff>
    </xdr:to>
    <xdr:sp macro="" textlink="">
      <xdr:nvSpPr>
        <xdr:cNvPr id="46579" name="7">
          <a:extLst>
            <a:ext uri="{FF2B5EF4-FFF2-40B4-BE49-F238E27FC236}">
              <a16:creationId xmlns:a16="http://schemas.microsoft.com/office/drawing/2014/main" id="{34CB9B83-BED7-82BA-F9C5-76FC1D057CD0}"/>
            </a:ext>
          </a:extLst>
        </xdr:cNvPr>
        <xdr:cNvSpPr/>
      </xdr:nvSpPr>
      <xdr:spPr>
        <a:xfrm>
          <a:off x="17904823" y="1687830"/>
          <a:ext cx="31450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10</xdr:row>
      <xdr:rowOff>78105</xdr:rowOff>
    </xdr:from>
    <xdr:to>
      <xdr:col>31</xdr:col>
      <xdr:colOff>521698</xdr:colOff>
      <xdr:row>10</xdr:row>
      <xdr:rowOff>78105</xdr:rowOff>
    </xdr:to>
    <xdr:cxnSp macro="">
      <xdr:nvCxnSpPr>
        <xdr:cNvPr id="46580" name="직선 화살표 연결선 46579">
          <a:extLst>
            <a:ext uri="{FF2B5EF4-FFF2-40B4-BE49-F238E27FC236}">
              <a16:creationId xmlns:a16="http://schemas.microsoft.com/office/drawing/2014/main" id="{44C41E91-F2C6-A856-F714-F7E2CDDF1F61}"/>
            </a:ext>
          </a:extLst>
        </xdr:cNvPr>
        <xdr:cNvCxnSpPr/>
      </xdr:nvCxnSpPr>
      <xdr:spPr>
        <a:xfrm>
          <a:off x="17904823" y="174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9</xdr:row>
      <xdr:rowOff>20955</xdr:rowOff>
    </xdr:from>
    <xdr:to>
      <xdr:col>32</xdr:col>
      <xdr:colOff>0</xdr:colOff>
      <xdr:row>9</xdr:row>
      <xdr:rowOff>135255</xdr:rowOff>
    </xdr:to>
    <xdr:sp macro="" textlink="">
      <xdr:nvSpPr>
        <xdr:cNvPr id="46581" name="6">
          <a:extLst>
            <a:ext uri="{FF2B5EF4-FFF2-40B4-BE49-F238E27FC236}">
              <a16:creationId xmlns:a16="http://schemas.microsoft.com/office/drawing/2014/main" id="{E4D1F1CD-5140-23AE-B63A-0C7D1B9E91E2}"/>
            </a:ext>
          </a:extLst>
        </xdr:cNvPr>
        <xdr:cNvSpPr/>
      </xdr:nvSpPr>
      <xdr:spPr>
        <a:xfrm>
          <a:off x="17904823" y="1535430"/>
          <a:ext cx="31450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9</xdr:row>
      <xdr:rowOff>78105</xdr:rowOff>
    </xdr:from>
    <xdr:to>
      <xdr:col>31</xdr:col>
      <xdr:colOff>521698</xdr:colOff>
      <xdr:row>9</xdr:row>
      <xdr:rowOff>78105</xdr:rowOff>
    </xdr:to>
    <xdr:cxnSp macro="">
      <xdr:nvCxnSpPr>
        <xdr:cNvPr id="46582" name="직선 화살표 연결선 46581">
          <a:extLst>
            <a:ext uri="{FF2B5EF4-FFF2-40B4-BE49-F238E27FC236}">
              <a16:creationId xmlns:a16="http://schemas.microsoft.com/office/drawing/2014/main" id="{17A55844-5A71-E358-DD28-4F40EB11BD42}"/>
            </a:ext>
          </a:extLst>
        </xdr:cNvPr>
        <xdr:cNvCxnSpPr/>
      </xdr:nvCxnSpPr>
      <xdr:spPr>
        <a:xfrm>
          <a:off x="17904823" y="159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8</xdr:row>
      <xdr:rowOff>20955</xdr:rowOff>
    </xdr:from>
    <xdr:to>
      <xdr:col>32</xdr:col>
      <xdr:colOff>0</xdr:colOff>
      <xdr:row>8</xdr:row>
      <xdr:rowOff>135255</xdr:rowOff>
    </xdr:to>
    <xdr:sp macro="" textlink="">
      <xdr:nvSpPr>
        <xdr:cNvPr id="46583" name="5">
          <a:extLst>
            <a:ext uri="{FF2B5EF4-FFF2-40B4-BE49-F238E27FC236}">
              <a16:creationId xmlns:a16="http://schemas.microsoft.com/office/drawing/2014/main" id="{5690F068-6EC1-522F-7355-249921E39A38}"/>
            </a:ext>
          </a:extLst>
        </xdr:cNvPr>
        <xdr:cNvSpPr/>
      </xdr:nvSpPr>
      <xdr:spPr>
        <a:xfrm>
          <a:off x="17904823" y="138303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8</xdr:row>
      <xdr:rowOff>78105</xdr:rowOff>
    </xdr:from>
    <xdr:to>
      <xdr:col>31</xdr:col>
      <xdr:colOff>521698</xdr:colOff>
      <xdr:row>8</xdr:row>
      <xdr:rowOff>78105</xdr:rowOff>
    </xdr:to>
    <xdr:cxnSp macro="">
      <xdr:nvCxnSpPr>
        <xdr:cNvPr id="46584" name="직선 화살표 연결선 46583">
          <a:extLst>
            <a:ext uri="{FF2B5EF4-FFF2-40B4-BE49-F238E27FC236}">
              <a16:creationId xmlns:a16="http://schemas.microsoft.com/office/drawing/2014/main" id="{AFA8B10F-4A35-0D15-B905-B417C2A14056}"/>
            </a:ext>
          </a:extLst>
        </xdr:cNvPr>
        <xdr:cNvCxnSpPr/>
      </xdr:nvCxnSpPr>
      <xdr:spPr>
        <a:xfrm>
          <a:off x="17904823" y="144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6</xdr:row>
      <xdr:rowOff>20955</xdr:rowOff>
    </xdr:from>
    <xdr:to>
      <xdr:col>32</xdr:col>
      <xdr:colOff>0</xdr:colOff>
      <xdr:row>6</xdr:row>
      <xdr:rowOff>135255</xdr:rowOff>
    </xdr:to>
    <xdr:sp macro="" textlink="">
      <xdr:nvSpPr>
        <xdr:cNvPr id="46587" name="3">
          <a:extLst>
            <a:ext uri="{FF2B5EF4-FFF2-40B4-BE49-F238E27FC236}">
              <a16:creationId xmlns:a16="http://schemas.microsoft.com/office/drawing/2014/main" id="{25A79421-31FC-4690-4FF4-3D1DC9E01F3E}"/>
            </a:ext>
          </a:extLst>
        </xdr:cNvPr>
        <xdr:cNvSpPr/>
      </xdr:nvSpPr>
      <xdr:spPr>
        <a:xfrm>
          <a:off x="17904823" y="1078230"/>
          <a:ext cx="2080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6</xdr:row>
      <xdr:rowOff>78105</xdr:rowOff>
    </xdr:from>
    <xdr:to>
      <xdr:col>31</xdr:col>
      <xdr:colOff>521698</xdr:colOff>
      <xdr:row>6</xdr:row>
      <xdr:rowOff>78105</xdr:rowOff>
    </xdr:to>
    <xdr:cxnSp macro="">
      <xdr:nvCxnSpPr>
        <xdr:cNvPr id="46588" name="직선 화살표 연결선 46587">
          <a:extLst>
            <a:ext uri="{FF2B5EF4-FFF2-40B4-BE49-F238E27FC236}">
              <a16:creationId xmlns:a16="http://schemas.microsoft.com/office/drawing/2014/main" id="{42C173E5-AF38-3C54-F371-22A730CC76CC}"/>
            </a:ext>
          </a:extLst>
        </xdr:cNvPr>
        <xdr:cNvCxnSpPr/>
      </xdr:nvCxnSpPr>
      <xdr:spPr>
        <a:xfrm>
          <a:off x="17904823" y="113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5</xdr:row>
      <xdr:rowOff>20955</xdr:rowOff>
    </xdr:from>
    <xdr:to>
      <xdr:col>32</xdr:col>
      <xdr:colOff>0</xdr:colOff>
      <xdr:row>5</xdr:row>
      <xdr:rowOff>135255</xdr:rowOff>
    </xdr:to>
    <xdr:sp macro="" textlink="">
      <xdr:nvSpPr>
        <xdr:cNvPr id="46589" name="2">
          <a:extLst>
            <a:ext uri="{FF2B5EF4-FFF2-40B4-BE49-F238E27FC236}">
              <a16:creationId xmlns:a16="http://schemas.microsoft.com/office/drawing/2014/main" id="{E50D3A30-0BE4-E813-E760-AE1A1D96BF1A}"/>
            </a:ext>
          </a:extLst>
        </xdr:cNvPr>
        <xdr:cNvSpPr/>
      </xdr:nvSpPr>
      <xdr:spPr>
        <a:xfrm>
          <a:off x="17904823" y="925830"/>
          <a:ext cx="22878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5</xdr:row>
      <xdr:rowOff>78105</xdr:rowOff>
    </xdr:from>
    <xdr:to>
      <xdr:col>31</xdr:col>
      <xdr:colOff>521698</xdr:colOff>
      <xdr:row>5</xdr:row>
      <xdr:rowOff>78105</xdr:rowOff>
    </xdr:to>
    <xdr:cxnSp macro="">
      <xdr:nvCxnSpPr>
        <xdr:cNvPr id="46590" name="직선 화살표 연결선 46589">
          <a:extLst>
            <a:ext uri="{FF2B5EF4-FFF2-40B4-BE49-F238E27FC236}">
              <a16:creationId xmlns:a16="http://schemas.microsoft.com/office/drawing/2014/main" id="{1451C51E-BE35-EBFE-8EE4-2CE27E37D741}"/>
            </a:ext>
          </a:extLst>
        </xdr:cNvPr>
        <xdr:cNvCxnSpPr/>
      </xdr:nvCxnSpPr>
      <xdr:spPr>
        <a:xfrm>
          <a:off x="17904823" y="98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4</xdr:row>
      <xdr:rowOff>20955</xdr:rowOff>
    </xdr:from>
    <xdr:to>
      <xdr:col>32</xdr:col>
      <xdr:colOff>0</xdr:colOff>
      <xdr:row>4</xdr:row>
      <xdr:rowOff>135255</xdr:rowOff>
    </xdr:to>
    <xdr:sp macro="" textlink="">
      <xdr:nvSpPr>
        <xdr:cNvPr id="46591" name="1">
          <a:extLst>
            <a:ext uri="{FF2B5EF4-FFF2-40B4-BE49-F238E27FC236}">
              <a16:creationId xmlns:a16="http://schemas.microsoft.com/office/drawing/2014/main" id="{0344D151-6584-A434-917E-4175CFF0D154}"/>
            </a:ext>
          </a:extLst>
        </xdr:cNvPr>
        <xdr:cNvSpPr/>
      </xdr:nvSpPr>
      <xdr:spPr>
        <a:xfrm>
          <a:off x="17904823" y="77343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4</xdr:row>
      <xdr:rowOff>78105</xdr:rowOff>
    </xdr:from>
    <xdr:to>
      <xdr:col>31</xdr:col>
      <xdr:colOff>521698</xdr:colOff>
      <xdr:row>4</xdr:row>
      <xdr:rowOff>78105</xdr:rowOff>
    </xdr:to>
    <xdr:cxnSp macro="">
      <xdr:nvCxnSpPr>
        <xdr:cNvPr id="46592" name="직선 화살표 연결선 46591">
          <a:extLst>
            <a:ext uri="{FF2B5EF4-FFF2-40B4-BE49-F238E27FC236}">
              <a16:creationId xmlns:a16="http://schemas.microsoft.com/office/drawing/2014/main" id="{8A0CA9AD-90B1-B388-1472-A2056847EEAE}"/>
            </a:ext>
          </a:extLst>
        </xdr:cNvPr>
        <xdr:cNvCxnSpPr/>
      </xdr:nvCxnSpPr>
      <xdr:spPr>
        <a:xfrm>
          <a:off x="17904823" y="83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77</xdr:row>
      <xdr:rowOff>9525</xdr:rowOff>
    </xdr:from>
    <xdr:to>
      <xdr:col>32</xdr:col>
      <xdr:colOff>0</xdr:colOff>
      <xdr:row>77</xdr:row>
      <xdr:rowOff>123825</xdr:rowOff>
    </xdr:to>
    <xdr:sp macro="" textlink="">
      <xdr:nvSpPr>
        <xdr:cNvPr id="46603" name="69">
          <a:extLst>
            <a:ext uri="{FF2B5EF4-FFF2-40B4-BE49-F238E27FC236}">
              <a16:creationId xmlns:a16="http://schemas.microsoft.com/office/drawing/2014/main" id="{8BA1C8F3-6168-49DE-9D30-F50BDD2068D0}"/>
            </a:ext>
          </a:extLst>
        </xdr:cNvPr>
        <xdr:cNvSpPr/>
      </xdr:nvSpPr>
      <xdr:spPr>
        <a:xfrm>
          <a:off x="17904823" y="11791950"/>
          <a:ext cx="68380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77</xdr:row>
      <xdr:rowOff>66675</xdr:rowOff>
    </xdr:from>
    <xdr:to>
      <xdr:col>31</xdr:col>
      <xdr:colOff>521698</xdr:colOff>
      <xdr:row>77</xdr:row>
      <xdr:rowOff>66675</xdr:rowOff>
    </xdr:to>
    <xdr:cxnSp macro="">
      <xdr:nvCxnSpPr>
        <xdr:cNvPr id="46604" name="직선 화살표 연결선 46603">
          <a:extLst>
            <a:ext uri="{FF2B5EF4-FFF2-40B4-BE49-F238E27FC236}">
              <a16:creationId xmlns:a16="http://schemas.microsoft.com/office/drawing/2014/main" id="{5D1798D6-077B-78F3-FC7A-17D07D7FE28A}"/>
            </a:ext>
          </a:extLst>
        </xdr:cNvPr>
        <xdr:cNvCxnSpPr/>
      </xdr:nvCxnSpPr>
      <xdr:spPr>
        <a:xfrm>
          <a:off x="17904823" y="118491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76</xdr:row>
      <xdr:rowOff>9525</xdr:rowOff>
    </xdr:from>
    <xdr:to>
      <xdr:col>32</xdr:col>
      <xdr:colOff>0</xdr:colOff>
      <xdr:row>76</xdr:row>
      <xdr:rowOff>123825</xdr:rowOff>
    </xdr:to>
    <xdr:sp macro="" textlink="">
      <xdr:nvSpPr>
        <xdr:cNvPr id="46605" name="68">
          <a:extLst>
            <a:ext uri="{FF2B5EF4-FFF2-40B4-BE49-F238E27FC236}">
              <a16:creationId xmlns:a16="http://schemas.microsoft.com/office/drawing/2014/main" id="{D467DD78-A74D-04BE-10FF-799C50219350}"/>
            </a:ext>
          </a:extLst>
        </xdr:cNvPr>
        <xdr:cNvSpPr/>
      </xdr:nvSpPr>
      <xdr:spPr>
        <a:xfrm>
          <a:off x="17904823" y="1163955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76</xdr:row>
      <xdr:rowOff>66675</xdr:rowOff>
    </xdr:from>
    <xdr:to>
      <xdr:col>31</xdr:col>
      <xdr:colOff>521698</xdr:colOff>
      <xdr:row>76</xdr:row>
      <xdr:rowOff>66675</xdr:rowOff>
    </xdr:to>
    <xdr:cxnSp macro="">
      <xdr:nvCxnSpPr>
        <xdr:cNvPr id="46606" name="직선 화살표 연결선 46605">
          <a:extLst>
            <a:ext uri="{FF2B5EF4-FFF2-40B4-BE49-F238E27FC236}">
              <a16:creationId xmlns:a16="http://schemas.microsoft.com/office/drawing/2014/main" id="{56526F34-4785-26C4-6256-3C65CCE89123}"/>
            </a:ext>
          </a:extLst>
        </xdr:cNvPr>
        <xdr:cNvCxnSpPr/>
      </xdr:nvCxnSpPr>
      <xdr:spPr>
        <a:xfrm>
          <a:off x="17904823" y="116967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63</xdr:row>
      <xdr:rowOff>121920</xdr:rowOff>
    </xdr:from>
    <xdr:to>
      <xdr:col>32</xdr:col>
      <xdr:colOff>0</xdr:colOff>
      <xdr:row>63</xdr:row>
      <xdr:rowOff>236220</xdr:rowOff>
    </xdr:to>
    <xdr:sp macro="" textlink="">
      <xdr:nvSpPr>
        <xdr:cNvPr id="46631" name="55">
          <a:extLst>
            <a:ext uri="{FF2B5EF4-FFF2-40B4-BE49-F238E27FC236}">
              <a16:creationId xmlns:a16="http://schemas.microsoft.com/office/drawing/2014/main" id="{B216A923-2B58-C3CD-7417-E953828967D2}"/>
            </a:ext>
          </a:extLst>
        </xdr:cNvPr>
        <xdr:cNvSpPr/>
      </xdr:nvSpPr>
      <xdr:spPr>
        <a:xfrm>
          <a:off x="17904823" y="928497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63</xdr:row>
      <xdr:rowOff>179070</xdr:rowOff>
    </xdr:from>
    <xdr:to>
      <xdr:col>31</xdr:col>
      <xdr:colOff>521698</xdr:colOff>
      <xdr:row>63</xdr:row>
      <xdr:rowOff>179070</xdr:rowOff>
    </xdr:to>
    <xdr:cxnSp macro="">
      <xdr:nvCxnSpPr>
        <xdr:cNvPr id="46632" name="직선 화살표 연결선 46631">
          <a:extLst>
            <a:ext uri="{FF2B5EF4-FFF2-40B4-BE49-F238E27FC236}">
              <a16:creationId xmlns:a16="http://schemas.microsoft.com/office/drawing/2014/main" id="{1D8B62F9-4BF6-3528-3DF4-AC1A38008321}"/>
            </a:ext>
          </a:extLst>
        </xdr:cNvPr>
        <xdr:cNvCxnSpPr/>
      </xdr:nvCxnSpPr>
      <xdr:spPr>
        <a:xfrm>
          <a:off x="17904823" y="93421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16</xdr:row>
      <xdr:rowOff>20955</xdr:rowOff>
    </xdr:from>
    <xdr:to>
      <xdr:col>32</xdr:col>
      <xdr:colOff>0</xdr:colOff>
      <xdr:row>16</xdr:row>
      <xdr:rowOff>135255</xdr:rowOff>
    </xdr:to>
    <xdr:sp macro="" textlink="">
      <xdr:nvSpPr>
        <xdr:cNvPr id="46715" name="13">
          <a:extLst>
            <a:ext uri="{FF2B5EF4-FFF2-40B4-BE49-F238E27FC236}">
              <a16:creationId xmlns:a16="http://schemas.microsoft.com/office/drawing/2014/main" id="{CE62BD36-347C-442A-FAC2-D1CC7C29FA06}"/>
            </a:ext>
          </a:extLst>
        </xdr:cNvPr>
        <xdr:cNvSpPr/>
      </xdr:nvSpPr>
      <xdr:spPr>
        <a:xfrm>
          <a:off x="17904823" y="26022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16</xdr:row>
      <xdr:rowOff>78105</xdr:rowOff>
    </xdr:from>
    <xdr:to>
      <xdr:col>31</xdr:col>
      <xdr:colOff>521698</xdr:colOff>
      <xdr:row>16</xdr:row>
      <xdr:rowOff>78105</xdr:rowOff>
    </xdr:to>
    <xdr:cxnSp macro="">
      <xdr:nvCxnSpPr>
        <xdr:cNvPr id="46716" name="직선 화살표 연결선 46715">
          <a:extLst>
            <a:ext uri="{FF2B5EF4-FFF2-40B4-BE49-F238E27FC236}">
              <a16:creationId xmlns:a16="http://schemas.microsoft.com/office/drawing/2014/main" id="{2A34B5BB-C348-AA1F-B224-CE478FF5E8E7}"/>
            </a:ext>
          </a:extLst>
        </xdr:cNvPr>
        <xdr:cNvCxnSpPr/>
      </xdr:nvCxnSpPr>
      <xdr:spPr>
        <a:xfrm>
          <a:off x="17904823" y="265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15</xdr:row>
      <xdr:rowOff>20955</xdr:rowOff>
    </xdr:from>
    <xdr:to>
      <xdr:col>32</xdr:col>
      <xdr:colOff>0</xdr:colOff>
      <xdr:row>15</xdr:row>
      <xdr:rowOff>135255</xdr:rowOff>
    </xdr:to>
    <xdr:sp macro="" textlink="">
      <xdr:nvSpPr>
        <xdr:cNvPr id="46717" name="12">
          <a:extLst>
            <a:ext uri="{FF2B5EF4-FFF2-40B4-BE49-F238E27FC236}">
              <a16:creationId xmlns:a16="http://schemas.microsoft.com/office/drawing/2014/main" id="{89917352-2F96-D56A-6194-95AD3440CF47}"/>
            </a:ext>
          </a:extLst>
        </xdr:cNvPr>
        <xdr:cNvSpPr/>
      </xdr:nvSpPr>
      <xdr:spPr>
        <a:xfrm>
          <a:off x="17904823" y="2449830"/>
          <a:ext cx="39424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15</xdr:row>
      <xdr:rowOff>78105</xdr:rowOff>
    </xdr:from>
    <xdr:to>
      <xdr:col>31</xdr:col>
      <xdr:colOff>521698</xdr:colOff>
      <xdr:row>15</xdr:row>
      <xdr:rowOff>78105</xdr:rowOff>
    </xdr:to>
    <xdr:cxnSp macro="">
      <xdr:nvCxnSpPr>
        <xdr:cNvPr id="46718" name="직선 화살표 연결선 46717">
          <a:extLst>
            <a:ext uri="{FF2B5EF4-FFF2-40B4-BE49-F238E27FC236}">
              <a16:creationId xmlns:a16="http://schemas.microsoft.com/office/drawing/2014/main" id="{6CB18218-064C-66EE-63EA-B1DA3BFF27F5}"/>
            </a:ext>
          </a:extLst>
        </xdr:cNvPr>
        <xdr:cNvCxnSpPr/>
      </xdr:nvCxnSpPr>
      <xdr:spPr>
        <a:xfrm>
          <a:off x="17904823" y="250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14</xdr:row>
      <xdr:rowOff>20955</xdr:rowOff>
    </xdr:from>
    <xdr:to>
      <xdr:col>32</xdr:col>
      <xdr:colOff>0</xdr:colOff>
      <xdr:row>14</xdr:row>
      <xdr:rowOff>135255</xdr:rowOff>
    </xdr:to>
    <xdr:sp macro="" textlink="">
      <xdr:nvSpPr>
        <xdr:cNvPr id="46719" name="11">
          <a:extLst>
            <a:ext uri="{FF2B5EF4-FFF2-40B4-BE49-F238E27FC236}">
              <a16:creationId xmlns:a16="http://schemas.microsoft.com/office/drawing/2014/main" id="{54AB3E7D-78E6-0666-A7A1-BB887064010C}"/>
            </a:ext>
          </a:extLst>
        </xdr:cNvPr>
        <xdr:cNvSpPr/>
      </xdr:nvSpPr>
      <xdr:spPr>
        <a:xfrm>
          <a:off x="17904823" y="2297430"/>
          <a:ext cx="9733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14</xdr:row>
      <xdr:rowOff>78105</xdr:rowOff>
    </xdr:from>
    <xdr:to>
      <xdr:col>31</xdr:col>
      <xdr:colOff>521698</xdr:colOff>
      <xdr:row>14</xdr:row>
      <xdr:rowOff>78105</xdr:rowOff>
    </xdr:to>
    <xdr:cxnSp macro="">
      <xdr:nvCxnSpPr>
        <xdr:cNvPr id="46720" name="직선 화살표 연결선 46719">
          <a:extLst>
            <a:ext uri="{FF2B5EF4-FFF2-40B4-BE49-F238E27FC236}">
              <a16:creationId xmlns:a16="http://schemas.microsoft.com/office/drawing/2014/main" id="{60BFBA9C-F5E6-8037-664E-7B51399B68A0}"/>
            </a:ext>
          </a:extLst>
        </xdr:cNvPr>
        <xdr:cNvCxnSpPr/>
      </xdr:nvCxnSpPr>
      <xdr:spPr>
        <a:xfrm>
          <a:off x="17904823" y="235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10</xdr:row>
      <xdr:rowOff>20955</xdr:rowOff>
    </xdr:from>
    <xdr:to>
      <xdr:col>32</xdr:col>
      <xdr:colOff>0</xdr:colOff>
      <xdr:row>10</xdr:row>
      <xdr:rowOff>135255</xdr:rowOff>
    </xdr:to>
    <xdr:sp macro="" textlink="">
      <xdr:nvSpPr>
        <xdr:cNvPr id="46727" name="7">
          <a:extLst>
            <a:ext uri="{FF2B5EF4-FFF2-40B4-BE49-F238E27FC236}">
              <a16:creationId xmlns:a16="http://schemas.microsoft.com/office/drawing/2014/main" id="{CC12AF36-AE44-EC7A-2CFB-5B42BA35D9F7}"/>
            </a:ext>
          </a:extLst>
        </xdr:cNvPr>
        <xdr:cNvSpPr/>
      </xdr:nvSpPr>
      <xdr:spPr>
        <a:xfrm>
          <a:off x="17904823" y="1687830"/>
          <a:ext cx="31450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10</xdr:row>
      <xdr:rowOff>78105</xdr:rowOff>
    </xdr:from>
    <xdr:to>
      <xdr:col>31</xdr:col>
      <xdr:colOff>521698</xdr:colOff>
      <xdr:row>10</xdr:row>
      <xdr:rowOff>78105</xdr:rowOff>
    </xdr:to>
    <xdr:cxnSp macro="">
      <xdr:nvCxnSpPr>
        <xdr:cNvPr id="46728" name="직선 화살표 연결선 46727">
          <a:extLst>
            <a:ext uri="{FF2B5EF4-FFF2-40B4-BE49-F238E27FC236}">
              <a16:creationId xmlns:a16="http://schemas.microsoft.com/office/drawing/2014/main" id="{2487EE1F-5414-0BF8-A168-4AE9AE18FC8F}"/>
            </a:ext>
          </a:extLst>
        </xdr:cNvPr>
        <xdr:cNvCxnSpPr/>
      </xdr:nvCxnSpPr>
      <xdr:spPr>
        <a:xfrm>
          <a:off x="17904823" y="174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9</xdr:row>
      <xdr:rowOff>20955</xdr:rowOff>
    </xdr:from>
    <xdr:to>
      <xdr:col>32</xdr:col>
      <xdr:colOff>0</xdr:colOff>
      <xdr:row>9</xdr:row>
      <xdr:rowOff>135255</xdr:rowOff>
    </xdr:to>
    <xdr:sp macro="" textlink="">
      <xdr:nvSpPr>
        <xdr:cNvPr id="46729" name="6">
          <a:extLst>
            <a:ext uri="{FF2B5EF4-FFF2-40B4-BE49-F238E27FC236}">
              <a16:creationId xmlns:a16="http://schemas.microsoft.com/office/drawing/2014/main" id="{6CADFE0B-45D5-A7B1-71CD-0BD1922B84B2}"/>
            </a:ext>
          </a:extLst>
        </xdr:cNvPr>
        <xdr:cNvSpPr/>
      </xdr:nvSpPr>
      <xdr:spPr>
        <a:xfrm>
          <a:off x="17904823" y="1535430"/>
          <a:ext cx="31450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9</xdr:row>
      <xdr:rowOff>78105</xdr:rowOff>
    </xdr:from>
    <xdr:to>
      <xdr:col>31</xdr:col>
      <xdr:colOff>521698</xdr:colOff>
      <xdr:row>9</xdr:row>
      <xdr:rowOff>78105</xdr:rowOff>
    </xdr:to>
    <xdr:cxnSp macro="">
      <xdr:nvCxnSpPr>
        <xdr:cNvPr id="46730" name="직선 화살표 연결선 46729">
          <a:extLst>
            <a:ext uri="{FF2B5EF4-FFF2-40B4-BE49-F238E27FC236}">
              <a16:creationId xmlns:a16="http://schemas.microsoft.com/office/drawing/2014/main" id="{873A54D2-5050-DB6C-67CC-7C3E17AE0EAA}"/>
            </a:ext>
          </a:extLst>
        </xdr:cNvPr>
        <xdr:cNvCxnSpPr/>
      </xdr:nvCxnSpPr>
      <xdr:spPr>
        <a:xfrm>
          <a:off x="17904823" y="159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8</xdr:row>
      <xdr:rowOff>20955</xdr:rowOff>
    </xdr:from>
    <xdr:to>
      <xdr:col>32</xdr:col>
      <xdr:colOff>0</xdr:colOff>
      <xdr:row>8</xdr:row>
      <xdr:rowOff>135255</xdr:rowOff>
    </xdr:to>
    <xdr:sp macro="" textlink="">
      <xdr:nvSpPr>
        <xdr:cNvPr id="46731" name="5">
          <a:extLst>
            <a:ext uri="{FF2B5EF4-FFF2-40B4-BE49-F238E27FC236}">
              <a16:creationId xmlns:a16="http://schemas.microsoft.com/office/drawing/2014/main" id="{CF645712-2D29-718D-B571-DFC05DA20839}"/>
            </a:ext>
          </a:extLst>
        </xdr:cNvPr>
        <xdr:cNvSpPr/>
      </xdr:nvSpPr>
      <xdr:spPr>
        <a:xfrm>
          <a:off x="17904823" y="138303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8</xdr:row>
      <xdr:rowOff>78105</xdr:rowOff>
    </xdr:from>
    <xdr:to>
      <xdr:col>31</xdr:col>
      <xdr:colOff>521698</xdr:colOff>
      <xdr:row>8</xdr:row>
      <xdr:rowOff>78105</xdr:rowOff>
    </xdr:to>
    <xdr:cxnSp macro="">
      <xdr:nvCxnSpPr>
        <xdr:cNvPr id="46732" name="직선 화살표 연결선 46731">
          <a:extLst>
            <a:ext uri="{FF2B5EF4-FFF2-40B4-BE49-F238E27FC236}">
              <a16:creationId xmlns:a16="http://schemas.microsoft.com/office/drawing/2014/main" id="{DEF96828-D664-7A62-AC4B-F6759D68DCD8}"/>
            </a:ext>
          </a:extLst>
        </xdr:cNvPr>
        <xdr:cNvCxnSpPr/>
      </xdr:nvCxnSpPr>
      <xdr:spPr>
        <a:xfrm>
          <a:off x="17904823" y="144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6</xdr:row>
      <xdr:rowOff>20955</xdr:rowOff>
    </xdr:from>
    <xdr:to>
      <xdr:col>32</xdr:col>
      <xdr:colOff>0</xdr:colOff>
      <xdr:row>6</xdr:row>
      <xdr:rowOff>135255</xdr:rowOff>
    </xdr:to>
    <xdr:sp macro="" textlink="">
      <xdr:nvSpPr>
        <xdr:cNvPr id="46735" name="3">
          <a:extLst>
            <a:ext uri="{FF2B5EF4-FFF2-40B4-BE49-F238E27FC236}">
              <a16:creationId xmlns:a16="http://schemas.microsoft.com/office/drawing/2014/main" id="{C36A8E26-7FEF-7DC6-B695-41A6F5EC7EA5}"/>
            </a:ext>
          </a:extLst>
        </xdr:cNvPr>
        <xdr:cNvSpPr/>
      </xdr:nvSpPr>
      <xdr:spPr>
        <a:xfrm>
          <a:off x="17904823" y="1078230"/>
          <a:ext cx="2080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6</xdr:row>
      <xdr:rowOff>78105</xdr:rowOff>
    </xdr:from>
    <xdr:to>
      <xdr:col>31</xdr:col>
      <xdr:colOff>521698</xdr:colOff>
      <xdr:row>6</xdr:row>
      <xdr:rowOff>78105</xdr:rowOff>
    </xdr:to>
    <xdr:cxnSp macro="">
      <xdr:nvCxnSpPr>
        <xdr:cNvPr id="46736" name="직선 화살표 연결선 46735">
          <a:extLst>
            <a:ext uri="{FF2B5EF4-FFF2-40B4-BE49-F238E27FC236}">
              <a16:creationId xmlns:a16="http://schemas.microsoft.com/office/drawing/2014/main" id="{F1389E98-F4D5-B978-F015-FE00AA1E8719}"/>
            </a:ext>
          </a:extLst>
        </xdr:cNvPr>
        <xdr:cNvCxnSpPr/>
      </xdr:nvCxnSpPr>
      <xdr:spPr>
        <a:xfrm>
          <a:off x="17904823" y="113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5</xdr:row>
      <xdr:rowOff>20955</xdr:rowOff>
    </xdr:from>
    <xdr:to>
      <xdr:col>32</xdr:col>
      <xdr:colOff>0</xdr:colOff>
      <xdr:row>5</xdr:row>
      <xdr:rowOff>135255</xdr:rowOff>
    </xdr:to>
    <xdr:sp macro="" textlink="">
      <xdr:nvSpPr>
        <xdr:cNvPr id="46737" name="2">
          <a:extLst>
            <a:ext uri="{FF2B5EF4-FFF2-40B4-BE49-F238E27FC236}">
              <a16:creationId xmlns:a16="http://schemas.microsoft.com/office/drawing/2014/main" id="{8FB650E7-5937-0945-6992-43F0569630EE}"/>
            </a:ext>
          </a:extLst>
        </xdr:cNvPr>
        <xdr:cNvSpPr/>
      </xdr:nvSpPr>
      <xdr:spPr>
        <a:xfrm>
          <a:off x="17904823" y="925830"/>
          <a:ext cx="22878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5</xdr:row>
      <xdr:rowOff>78105</xdr:rowOff>
    </xdr:from>
    <xdr:to>
      <xdr:col>31</xdr:col>
      <xdr:colOff>521698</xdr:colOff>
      <xdr:row>5</xdr:row>
      <xdr:rowOff>78105</xdr:rowOff>
    </xdr:to>
    <xdr:cxnSp macro="">
      <xdr:nvCxnSpPr>
        <xdr:cNvPr id="46738" name="직선 화살표 연결선 46737">
          <a:extLst>
            <a:ext uri="{FF2B5EF4-FFF2-40B4-BE49-F238E27FC236}">
              <a16:creationId xmlns:a16="http://schemas.microsoft.com/office/drawing/2014/main" id="{C278F536-4423-7B3A-188B-358E2E133672}"/>
            </a:ext>
          </a:extLst>
        </xdr:cNvPr>
        <xdr:cNvCxnSpPr/>
      </xdr:nvCxnSpPr>
      <xdr:spPr>
        <a:xfrm>
          <a:off x="17904823" y="98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4</xdr:row>
      <xdr:rowOff>20955</xdr:rowOff>
    </xdr:from>
    <xdr:to>
      <xdr:col>32</xdr:col>
      <xdr:colOff>0</xdr:colOff>
      <xdr:row>4</xdr:row>
      <xdr:rowOff>135255</xdr:rowOff>
    </xdr:to>
    <xdr:sp macro="" textlink="">
      <xdr:nvSpPr>
        <xdr:cNvPr id="46739" name="1">
          <a:extLst>
            <a:ext uri="{FF2B5EF4-FFF2-40B4-BE49-F238E27FC236}">
              <a16:creationId xmlns:a16="http://schemas.microsoft.com/office/drawing/2014/main" id="{48C76995-408E-F4D9-D0B4-1C5DC492CAD7}"/>
            </a:ext>
          </a:extLst>
        </xdr:cNvPr>
        <xdr:cNvSpPr/>
      </xdr:nvSpPr>
      <xdr:spPr>
        <a:xfrm>
          <a:off x="17904823" y="77343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4</xdr:row>
      <xdr:rowOff>78105</xdr:rowOff>
    </xdr:from>
    <xdr:to>
      <xdr:col>31</xdr:col>
      <xdr:colOff>521698</xdr:colOff>
      <xdr:row>4</xdr:row>
      <xdr:rowOff>78105</xdr:rowOff>
    </xdr:to>
    <xdr:cxnSp macro="">
      <xdr:nvCxnSpPr>
        <xdr:cNvPr id="46740" name="직선 화살표 연결선 46739">
          <a:extLst>
            <a:ext uri="{FF2B5EF4-FFF2-40B4-BE49-F238E27FC236}">
              <a16:creationId xmlns:a16="http://schemas.microsoft.com/office/drawing/2014/main" id="{79A3792E-780D-7ECD-F83D-EAF5053D5B79}"/>
            </a:ext>
          </a:extLst>
        </xdr:cNvPr>
        <xdr:cNvCxnSpPr/>
      </xdr:nvCxnSpPr>
      <xdr:spPr>
        <a:xfrm>
          <a:off x="17904823" y="83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77</xdr:row>
      <xdr:rowOff>9525</xdr:rowOff>
    </xdr:from>
    <xdr:to>
      <xdr:col>32</xdr:col>
      <xdr:colOff>0</xdr:colOff>
      <xdr:row>77</xdr:row>
      <xdr:rowOff>123825</xdr:rowOff>
    </xdr:to>
    <xdr:sp macro="" textlink="">
      <xdr:nvSpPr>
        <xdr:cNvPr id="46751" name="69">
          <a:extLst>
            <a:ext uri="{FF2B5EF4-FFF2-40B4-BE49-F238E27FC236}">
              <a16:creationId xmlns:a16="http://schemas.microsoft.com/office/drawing/2014/main" id="{3FB2FA13-F60E-BE69-0B93-07A547A5CE92}"/>
            </a:ext>
          </a:extLst>
        </xdr:cNvPr>
        <xdr:cNvSpPr/>
      </xdr:nvSpPr>
      <xdr:spPr>
        <a:xfrm>
          <a:off x="17904823" y="11791950"/>
          <a:ext cx="68380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77</xdr:row>
      <xdr:rowOff>66675</xdr:rowOff>
    </xdr:from>
    <xdr:to>
      <xdr:col>31</xdr:col>
      <xdr:colOff>521698</xdr:colOff>
      <xdr:row>77</xdr:row>
      <xdr:rowOff>66675</xdr:rowOff>
    </xdr:to>
    <xdr:cxnSp macro="">
      <xdr:nvCxnSpPr>
        <xdr:cNvPr id="46752" name="직선 화살표 연결선 46751">
          <a:extLst>
            <a:ext uri="{FF2B5EF4-FFF2-40B4-BE49-F238E27FC236}">
              <a16:creationId xmlns:a16="http://schemas.microsoft.com/office/drawing/2014/main" id="{CD689530-3A23-3B04-2EEF-E6C060050E37}"/>
            </a:ext>
          </a:extLst>
        </xdr:cNvPr>
        <xdr:cNvCxnSpPr/>
      </xdr:nvCxnSpPr>
      <xdr:spPr>
        <a:xfrm>
          <a:off x="17904823" y="118491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76</xdr:row>
      <xdr:rowOff>9525</xdr:rowOff>
    </xdr:from>
    <xdr:to>
      <xdr:col>32</xdr:col>
      <xdr:colOff>0</xdr:colOff>
      <xdr:row>76</xdr:row>
      <xdr:rowOff>123825</xdr:rowOff>
    </xdr:to>
    <xdr:sp macro="" textlink="">
      <xdr:nvSpPr>
        <xdr:cNvPr id="46753" name="68">
          <a:extLst>
            <a:ext uri="{FF2B5EF4-FFF2-40B4-BE49-F238E27FC236}">
              <a16:creationId xmlns:a16="http://schemas.microsoft.com/office/drawing/2014/main" id="{97C888FE-92E1-3764-885C-7A559D06116A}"/>
            </a:ext>
          </a:extLst>
        </xdr:cNvPr>
        <xdr:cNvSpPr/>
      </xdr:nvSpPr>
      <xdr:spPr>
        <a:xfrm>
          <a:off x="17904823" y="1163955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76</xdr:row>
      <xdr:rowOff>66675</xdr:rowOff>
    </xdr:from>
    <xdr:to>
      <xdr:col>31</xdr:col>
      <xdr:colOff>521698</xdr:colOff>
      <xdr:row>76</xdr:row>
      <xdr:rowOff>66675</xdr:rowOff>
    </xdr:to>
    <xdr:cxnSp macro="">
      <xdr:nvCxnSpPr>
        <xdr:cNvPr id="46754" name="직선 화살표 연결선 46753">
          <a:extLst>
            <a:ext uri="{FF2B5EF4-FFF2-40B4-BE49-F238E27FC236}">
              <a16:creationId xmlns:a16="http://schemas.microsoft.com/office/drawing/2014/main" id="{07A1C5D1-7D1E-29DC-5703-0EA8441E5538}"/>
            </a:ext>
          </a:extLst>
        </xdr:cNvPr>
        <xdr:cNvCxnSpPr/>
      </xdr:nvCxnSpPr>
      <xdr:spPr>
        <a:xfrm>
          <a:off x="17904823" y="116967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63</xdr:row>
      <xdr:rowOff>121920</xdr:rowOff>
    </xdr:from>
    <xdr:to>
      <xdr:col>32</xdr:col>
      <xdr:colOff>0</xdr:colOff>
      <xdr:row>63</xdr:row>
      <xdr:rowOff>236220</xdr:rowOff>
    </xdr:to>
    <xdr:sp macro="" textlink="">
      <xdr:nvSpPr>
        <xdr:cNvPr id="46779" name="55">
          <a:extLst>
            <a:ext uri="{FF2B5EF4-FFF2-40B4-BE49-F238E27FC236}">
              <a16:creationId xmlns:a16="http://schemas.microsoft.com/office/drawing/2014/main" id="{0A241CF0-D954-CB99-E868-CB83873A010D}"/>
            </a:ext>
          </a:extLst>
        </xdr:cNvPr>
        <xdr:cNvSpPr/>
      </xdr:nvSpPr>
      <xdr:spPr>
        <a:xfrm>
          <a:off x="17904823" y="928497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63</xdr:row>
      <xdr:rowOff>179070</xdr:rowOff>
    </xdr:from>
    <xdr:to>
      <xdr:col>31</xdr:col>
      <xdr:colOff>521698</xdr:colOff>
      <xdr:row>63</xdr:row>
      <xdr:rowOff>179070</xdr:rowOff>
    </xdr:to>
    <xdr:cxnSp macro="">
      <xdr:nvCxnSpPr>
        <xdr:cNvPr id="46780" name="직선 화살표 연결선 46779">
          <a:extLst>
            <a:ext uri="{FF2B5EF4-FFF2-40B4-BE49-F238E27FC236}">
              <a16:creationId xmlns:a16="http://schemas.microsoft.com/office/drawing/2014/main" id="{65964107-4681-53CB-D6BD-1463C6E81DB3}"/>
            </a:ext>
          </a:extLst>
        </xdr:cNvPr>
        <xdr:cNvCxnSpPr/>
      </xdr:nvCxnSpPr>
      <xdr:spPr>
        <a:xfrm>
          <a:off x="17904823" y="93421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16</xdr:row>
      <xdr:rowOff>20955</xdr:rowOff>
    </xdr:from>
    <xdr:to>
      <xdr:col>32</xdr:col>
      <xdr:colOff>0</xdr:colOff>
      <xdr:row>16</xdr:row>
      <xdr:rowOff>135255</xdr:rowOff>
    </xdr:to>
    <xdr:sp macro="" textlink="">
      <xdr:nvSpPr>
        <xdr:cNvPr id="46863" name="13">
          <a:extLst>
            <a:ext uri="{FF2B5EF4-FFF2-40B4-BE49-F238E27FC236}">
              <a16:creationId xmlns:a16="http://schemas.microsoft.com/office/drawing/2014/main" id="{845F1777-9AC9-D894-07BF-CD76F5C53901}"/>
            </a:ext>
          </a:extLst>
        </xdr:cNvPr>
        <xdr:cNvSpPr/>
      </xdr:nvSpPr>
      <xdr:spPr>
        <a:xfrm>
          <a:off x="17904823" y="26022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16</xdr:row>
      <xdr:rowOff>78105</xdr:rowOff>
    </xdr:from>
    <xdr:to>
      <xdr:col>31</xdr:col>
      <xdr:colOff>521698</xdr:colOff>
      <xdr:row>16</xdr:row>
      <xdr:rowOff>78105</xdr:rowOff>
    </xdr:to>
    <xdr:cxnSp macro="">
      <xdr:nvCxnSpPr>
        <xdr:cNvPr id="46864" name="직선 화살표 연결선 46863">
          <a:extLst>
            <a:ext uri="{FF2B5EF4-FFF2-40B4-BE49-F238E27FC236}">
              <a16:creationId xmlns:a16="http://schemas.microsoft.com/office/drawing/2014/main" id="{F349BC4E-F8A5-B0A1-DB03-AF78BCD6E2ED}"/>
            </a:ext>
          </a:extLst>
        </xdr:cNvPr>
        <xdr:cNvCxnSpPr/>
      </xdr:nvCxnSpPr>
      <xdr:spPr>
        <a:xfrm>
          <a:off x="17904823" y="265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15</xdr:row>
      <xdr:rowOff>20955</xdr:rowOff>
    </xdr:from>
    <xdr:to>
      <xdr:col>32</xdr:col>
      <xdr:colOff>0</xdr:colOff>
      <xdr:row>15</xdr:row>
      <xdr:rowOff>135255</xdr:rowOff>
    </xdr:to>
    <xdr:sp macro="" textlink="">
      <xdr:nvSpPr>
        <xdr:cNvPr id="46865" name="12">
          <a:extLst>
            <a:ext uri="{FF2B5EF4-FFF2-40B4-BE49-F238E27FC236}">
              <a16:creationId xmlns:a16="http://schemas.microsoft.com/office/drawing/2014/main" id="{2364394D-1F08-5FA6-DFF3-744C273AA6A6}"/>
            </a:ext>
          </a:extLst>
        </xdr:cNvPr>
        <xdr:cNvSpPr/>
      </xdr:nvSpPr>
      <xdr:spPr>
        <a:xfrm>
          <a:off x="17904823" y="2449830"/>
          <a:ext cx="39424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15</xdr:row>
      <xdr:rowOff>78105</xdr:rowOff>
    </xdr:from>
    <xdr:to>
      <xdr:col>31</xdr:col>
      <xdr:colOff>521698</xdr:colOff>
      <xdr:row>15</xdr:row>
      <xdr:rowOff>78105</xdr:rowOff>
    </xdr:to>
    <xdr:cxnSp macro="">
      <xdr:nvCxnSpPr>
        <xdr:cNvPr id="46866" name="직선 화살표 연결선 46865">
          <a:extLst>
            <a:ext uri="{FF2B5EF4-FFF2-40B4-BE49-F238E27FC236}">
              <a16:creationId xmlns:a16="http://schemas.microsoft.com/office/drawing/2014/main" id="{918FFDCB-DB9C-2994-913D-8FEB30AA967C}"/>
            </a:ext>
          </a:extLst>
        </xdr:cNvPr>
        <xdr:cNvCxnSpPr/>
      </xdr:nvCxnSpPr>
      <xdr:spPr>
        <a:xfrm>
          <a:off x="17904823" y="250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14</xdr:row>
      <xdr:rowOff>20955</xdr:rowOff>
    </xdr:from>
    <xdr:to>
      <xdr:col>32</xdr:col>
      <xdr:colOff>0</xdr:colOff>
      <xdr:row>14</xdr:row>
      <xdr:rowOff>135255</xdr:rowOff>
    </xdr:to>
    <xdr:sp macro="" textlink="">
      <xdr:nvSpPr>
        <xdr:cNvPr id="46867" name="11">
          <a:extLst>
            <a:ext uri="{FF2B5EF4-FFF2-40B4-BE49-F238E27FC236}">
              <a16:creationId xmlns:a16="http://schemas.microsoft.com/office/drawing/2014/main" id="{3BC1F6D9-77A4-63FE-FB6A-2A4571547046}"/>
            </a:ext>
          </a:extLst>
        </xdr:cNvPr>
        <xdr:cNvSpPr/>
      </xdr:nvSpPr>
      <xdr:spPr>
        <a:xfrm>
          <a:off x="17904823" y="2297430"/>
          <a:ext cx="9733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14</xdr:row>
      <xdr:rowOff>78105</xdr:rowOff>
    </xdr:from>
    <xdr:to>
      <xdr:col>31</xdr:col>
      <xdr:colOff>521698</xdr:colOff>
      <xdr:row>14</xdr:row>
      <xdr:rowOff>78105</xdr:rowOff>
    </xdr:to>
    <xdr:cxnSp macro="">
      <xdr:nvCxnSpPr>
        <xdr:cNvPr id="46868" name="직선 화살표 연결선 46867">
          <a:extLst>
            <a:ext uri="{FF2B5EF4-FFF2-40B4-BE49-F238E27FC236}">
              <a16:creationId xmlns:a16="http://schemas.microsoft.com/office/drawing/2014/main" id="{6670A583-0653-8C37-955F-BF2F7FA07F9B}"/>
            </a:ext>
          </a:extLst>
        </xdr:cNvPr>
        <xdr:cNvCxnSpPr/>
      </xdr:nvCxnSpPr>
      <xdr:spPr>
        <a:xfrm>
          <a:off x="17904823" y="235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10</xdr:row>
      <xdr:rowOff>20955</xdr:rowOff>
    </xdr:from>
    <xdr:to>
      <xdr:col>32</xdr:col>
      <xdr:colOff>0</xdr:colOff>
      <xdr:row>10</xdr:row>
      <xdr:rowOff>135255</xdr:rowOff>
    </xdr:to>
    <xdr:sp macro="" textlink="">
      <xdr:nvSpPr>
        <xdr:cNvPr id="46875" name="7">
          <a:extLst>
            <a:ext uri="{FF2B5EF4-FFF2-40B4-BE49-F238E27FC236}">
              <a16:creationId xmlns:a16="http://schemas.microsoft.com/office/drawing/2014/main" id="{E15A7A4D-111F-6F33-6FD8-6C7517502070}"/>
            </a:ext>
          </a:extLst>
        </xdr:cNvPr>
        <xdr:cNvSpPr/>
      </xdr:nvSpPr>
      <xdr:spPr>
        <a:xfrm>
          <a:off x="17904823" y="1687830"/>
          <a:ext cx="31450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10</xdr:row>
      <xdr:rowOff>78105</xdr:rowOff>
    </xdr:from>
    <xdr:to>
      <xdr:col>31</xdr:col>
      <xdr:colOff>521698</xdr:colOff>
      <xdr:row>10</xdr:row>
      <xdr:rowOff>78105</xdr:rowOff>
    </xdr:to>
    <xdr:cxnSp macro="">
      <xdr:nvCxnSpPr>
        <xdr:cNvPr id="46876" name="직선 화살표 연결선 46875">
          <a:extLst>
            <a:ext uri="{FF2B5EF4-FFF2-40B4-BE49-F238E27FC236}">
              <a16:creationId xmlns:a16="http://schemas.microsoft.com/office/drawing/2014/main" id="{420587FA-F4C7-7EC6-FB3B-6CB5597B46CD}"/>
            </a:ext>
          </a:extLst>
        </xdr:cNvPr>
        <xdr:cNvCxnSpPr/>
      </xdr:nvCxnSpPr>
      <xdr:spPr>
        <a:xfrm>
          <a:off x="17904823" y="174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9</xdr:row>
      <xdr:rowOff>20955</xdr:rowOff>
    </xdr:from>
    <xdr:to>
      <xdr:col>32</xdr:col>
      <xdr:colOff>0</xdr:colOff>
      <xdr:row>9</xdr:row>
      <xdr:rowOff>135255</xdr:rowOff>
    </xdr:to>
    <xdr:sp macro="" textlink="">
      <xdr:nvSpPr>
        <xdr:cNvPr id="46877" name="6">
          <a:extLst>
            <a:ext uri="{FF2B5EF4-FFF2-40B4-BE49-F238E27FC236}">
              <a16:creationId xmlns:a16="http://schemas.microsoft.com/office/drawing/2014/main" id="{E07C91CA-C996-EB34-92A7-B5F5DFFA8A3E}"/>
            </a:ext>
          </a:extLst>
        </xdr:cNvPr>
        <xdr:cNvSpPr/>
      </xdr:nvSpPr>
      <xdr:spPr>
        <a:xfrm>
          <a:off x="17904823" y="1535430"/>
          <a:ext cx="31450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9</xdr:row>
      <xdr:rowOff>78105</xdr:rowOff>
    </xdr:from>
    <xdr:to>
      <xdr:col>31</xdr:col>
      <xdr:colOff>521698</xdr:colOff>
      <xdr:row>9</xdr:row>
      <xdr:rowOff>78105</xdr:rowOff>
    </xdr:to>
    <xdr:cxnSp macro="">
      <xdr:nvCxnSpPr>
        <xdr:cNvPr id="46878" name="직선 화살표 연결선 46877">
          <a:extLst>
            <a:ext uri="{FF2B5EF4-FFF2-40B4-BE49-F238E27FC236}">
              <a16:creationId xmlns:a16="http://schemas.microsoft.com/office/drawing/2014/main" id="{8B6C61BE-0E45-1290-BE2A-FAED93733715}"/>
            </a:ext>
          </a:extLst>
        </xdr:cNvPr>
        <xdr:cNvCxnSpPr/>
      </xdr:nvCxnSpPr>
      <xdr:spPr>
        <a:xfrm>
          <a:off x="17904823" y="159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8</xdr:row>
      <xdr:rowOff>20955</xdr:rowOff>
    </xdr:from>
    <xdr:to>
      <xdr:col>32</xdr:col>
      <xdr:colOff>0</xdr:colOff>
      <xdr:row>8</xdr:row>
      <xdr:rowOff>135255</xdr:rowOff>
    </xdr:to>
    <xdr:sp macro="" textlink="">
      <xdr:nvSpPr>
        <xdr:cNvPr id="46879" name="5">
          <a:extLst>
            <a:ext uri="{FF2B5EF4-FFF2-40B4-BE49-F238E27FC236}">
              <a16:creationId xmlns:a16="http://schemas.microsoft.com/office/drawing/2014/main" id="{1DD14E20-5717-AB4D-3741-D3E396261C2C}"/>
            </a:ext>
          </a:extLst>
        </xdr:cNvPr>
        <xdr:cNvSpPr/>
      </xdr:nvSpPr>
      <xdr:spPr>
        <a:xfrm>
          <a:off x="17904823" y="138303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8</xdr:row>
      <xdr:rowOff>78105</xdr:rowOff>
    </xdr:from>
    <xdr:to>
      <xdr:col>31</xdr:col>
      <xdr:colOff>521698</xdr:colOff>
      <xdr:row>8</xdr:row>
      <xdr:rowOff>78105</xdr:rowOff>
    </xdr:to>
    <xdr:cxnSp macro="">
      <xdr:nvCxnSpPr>
        <xdr:cNvPr id="46880" name="직선 화살표 연결선 46879">
          <a:extLst>
            <a:ext uri="{FF2B5EF4-FFF2-40B4-BE49-F238E27FC236}">
              <a16:creationId xmlns:a16="http://schemas.microsoft.com/office/drawing/2014/main" id="{0E4EEB38-DB36-B9BF-BAAD-9E692BECC346}"/>
            </a:ext>
          </a:extLst>
        </xdr:cNvPr>
        <xdr:cNvCxnSpPr/>
      </xdr:nvCxnSpPr>
      <xdr:spPr>
        <a:xfrm>
          <a:off x="17904823" y="144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6</xdr:row>
      <xdr:rowOff>20955</xdr:rowOff>
    </xdr:from>
    <xdr:to>
      <xdr:col>32</xdr:col>
      <xdr:colOff>0</xdr:colOff>
      <xdr:row>6</xdr:row>
      <xdr:rowOff>135255</xdr:rowOff>
    </xdr:to>
    <xdr:sp macro="" textlink="">
      <xdr:nvSpPr>
        <xdr:cNvPr id="46883" name="3">
          <a:extLst>
            <a:ext uri="{FF2B5EF4-FFF2-40B4-BE49-F238E27FC236}">
              <a16:creationId xmlns:a16="http://schemas.microsoft.com/office/drawing/2014/main" id="{319262E7-2B1A-4253-9C42-87A77340DED9}"/>
            </a:ext>
          </a:extLst>
        </xdr:cNvPr>
        <xdr:cNvSpPr/>
      </xdr:nvSpPr>
      <xdr:spPr>
        <a:xfrm>
          <a:off x="17904823" y="1078230"/>
          <a:ext cx="2080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6</xdr:row>
      <xdr:rowOff>78105</xdr:rowOff>
    </xdr:from>
    <xdr:to>
      <xdr:col>31</xdr:col>
      <xdr:colOff>521698</xdr:colOff>
      <xdr:row>6</xdr:row>
      <xdr:rowOff>78105</xdr:rowOff>
    </xdr:to>
    <xdr:cxnSp macro="">
      <xdr:nvCxnSpPr>
        <xdr:cNvPr id="46884" name="직선 화살표 연결선 46883">
          <a:extLst>
            <a:ext uri="{FF2B5EF4-FFF2-40B4-BE49-F238E27FC236}">
              <a16:creationId xmlns:a16="http://schemas.microsoft.com/office/drawing/2014/main" id="{0B86486B-CDDF-3221-2081-5F7B23390B2E}"/>
            </a:ext>
          </a:extLst>
        </xdr:cNvPr>
        <xdr:cNvCxnSpPr/>
      </xdr:nvCxnSpPr>
      <xdr:spPr>
        <a:xfrm>
          <a:off x="17904823" y="113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5</xdr:row>
      <xdr:rowOff>20955</xdr:rowOff>
    </xdr:from>
    <xdr:to>
      <xdr:col>32</xdr:col>
      <xdr:colOff>0</xdr:colOff>
      <xdr:row>5</xdr:row>
      <xdr:rowOff>135255</xdr:rowOff>
    </xdr:to>
    <xdr:sp macro="" textlink="">
      <xdr:nvSpPr>
        <xdr:cNvPr id="46885" name="2">
          <a:extLst>
            <a:ext uri="{FF2B5EF4-FFF2-40B4-BE49-F238E27FC236}">
              <a16:creationId xmlns:a16="http://schemas.microsoft.com/office/drawing/2014/main" id="{8D3111D4-CDBB-3EF1-0CCB-40E157D219F3}"/>
            </a:ext>
          </a:extLst>
        </xdr:cNvPr>
        <xdr:cNvSpPr/>
      </xdr:nvSpPr>
      <xdr:spPr>
        <a:xfrm>
          <a:off x="17904823" y="925830"/>
          <a:ext cx="22878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5</xdr:row>
      <xdr:rowOff>78105</xdr:rowOff>
    </xdr:from>
    <xdr:to>
      <xdr:col>31</xdr:col>
      <xdr:colOff>521698</xdr:colOff>
      <xdr:row>5</xdr:row>
      <xdr:rowOff>78105</xdr:rowOff>
    </xdr:to>
    <xdr:cxnSp macro="">
      <xdr:nvCxnSpPr>
        <xdr:cNvPr id="46886" name="직선 화살표 연결선 46885">
          <a:extLst>
            <a:ext uri="{FF2B5EF4-FFF2-40B4-BE49-F238E27FC236}">
              <a16:creationId xmlns:a16="http://schemas.microsoft.com/office/drawing/2014/main" id="{D11FC5B7-923E-1167-9FF9-875A51C65AA0}"/>
            </a:ext>
          </a:extLst>
        </xdr:cNvPr>
        <xdr:cNvCxnSpPr/>
      </xdr:nvCxnSpPr>
      <xdr:spPr>
        <a:xfrm>
          <a:off x="17904823" y="98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4</xdr:row>
      <xdr:rowOff>20955</xdr:rowOff>
    </xdr:from>
    <xdr:to>
      <xdr:col>32</xdr:col>
      <xdr:colOff>0</xdr:colOff>
      <xdr:row>4</xdr:row>
      <xdr:rowOff>135255</xdr:rowOff>
    </xdr:to>
    <xdr:sp macro="" textlink="">
      <xdr:nvSpPr>
        <xdr:cNvPr id="46887" name="1">
          <a:extLst>
            <a:ext uri="{FF2B5EF4-FFF2-40B4-BE49-F238E27FC236}">
              <a16:creationId xmlns:a16="http://schemas.microsoft.com/office/drawing/2014/main" id="{5530BE88-F120-C56F-DE34-B9AF6F2DC009}"/>
            </a:ext>
          </a:extLst>
        </xdr:cNvPr>
        <xdr:cNvSpPr/>
      </xdr:nvSpPr>
      <xdr:spPr>
        <a:xfrm>
          <a:off x="17904823" y="77343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4</xdr:row>
      <xdr:rowOff>78105</xdr:rowOff>
    </xdr:from>
    <xdr:to>
      <xdr:col>31</xdr:col>
      <xdr:colOff>521698</xdr:colOff>
      <xdr:row>4</xdr:row>
      <xdr:rowOff>78105</xdr:rowOff>
    </xdr:to>
    <xdr:cxnSp macro="">
      <xdr:nvCxnSpPr>
        <xdr:cNvPr id="46888" name="직선 화살표 연결선 46887">
          <a:extLst>
            <a:ext uri="{FF2B5EF4-FFF2-40B4-BE49-F238E27FC236}">
              <a16:creationId xmlns:a16="http://schemas.microsoft.com/office/drawing/2014/main" id="{EC6191DC-9EC2-9132-FD67-4970FD9EAD3C}"/>
            </a:ext>
          </a:extLst>
        </xdr:cNvPr>
        <xdr:cNvCxnSpPr/>
      </xdr:nvCxnSpPr>
      <xdr:spPr>
        <a:xfrm>
          <a:off x="17904823" y="83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77</xdr:row>
      <xdr:rowOff>9525</xdr:rowOff>
    </xdr:from>
    <xdr:to>
      <xdr:col>32</xdr:col>
      <xdr:colOff>0</xdr:colOff>
      <xdr:row>77</xdr:row>
      <xdr:rowOff>123825</xdr:rowOff>
    </xdr:to>
    <xdr:sp macro="" textlink="">
      <xdr:nvSpPr>
        <xdr:cNvPr id="46899" name="69">
          <a:extLst>
            <a:ext uri="{FF2B5EF4-FFF2-40B4-BE49-F238E27FC236}">
              <a16:creationId xmlns:a16="http://schemas.microsoft.com/office/drawing/2014/main" id="{319E406E-AEE6-D651-E11C-46087765323A}"/>
            </a:ext>
          </a:extLst>
        </xdr:cNvPr>
        <xdr:cNvSpPr/>
      </xdr:nvSpPr>
      <xdr:spPr>
        <a:xfrm>
          <a:off x="17904823" y="11791950"/>
          <a:ext cx="68380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77</xdr:row>
      <xdr:rowOff>66675</xdr:rowOff>
    </xdr:from>
    <xdr:to>
      <xdr:col>31</xdr:col>
      <xdr:colOff>521698</xdr:colOff>
      <xdr:row>77</xdr:row>
      <xdr:rowOff>66675</xdr:rowOff>
    </xdr:to>
    <xdr:cxnSp macro="">
      <xdr:nvCxnSpPr>
        <xdr:cNvPr id="46900" name="직선 화살표 연결선 46899">
          <a:extLst>
            <a:ext uri="{FF2B5EF4-FFF2-40B4-BE49-F238E27FC236}">
              <a16:creationId xmlns:a16="http://schemas.microsoft.com/office/drawing/2014/main" id="{CF9B2EA9-6975-1076-DE5E-93A0D3FB2DC4}"/>
            </a:ext>
          </a:extLst>
        </xdr:cNvPr>
        <xdr:cNvCxnSpPr/>
      </xdr:nvCxnSpPr>
      <xdr:spPr>
        <a:xfrm>
          <a:off x="17904823" y="118491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76</xdr:row>
      <xdr:rowOff>9525</xdr:rowOff>
    </xdr:from>
    <xdr:to>
      <xdr:col>32</xdr:col>
      <xdr:colOff>0</xdr:colOff>
      <xdr:row>76</xdr:row>
      <xdr:rowOff>123825</xdr:rowOff>
    </xdr:to>
    <xdr:sp macro="" textlink="">
      <xdr:nvSpPr>
        <xdr:cNvPr id="46901" name="68">
          <a:extLst>
            <a:ext uri="{FF2B5EF4-FFF2-40B4-BE49-F238E27FC236}">
              <a16:creationId xmlns:a16="http://schemas.microsoft.com/office/drawing/2014/main" id="{C62260B2-C834-F540-DD8F-C0570A600C87}"/>
            </a:ext>
          </a:extLst>
        </xdr:cNvPr>
        <xdr:cNvSpPr/>
      </xdr:nvSpPr>
      <xdr:spPr>
        <a:xfrm>
          <a:off x="17904823" y="1163955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76</xdr:row>
      <xdr:rowOff>66675</xdr:rowOff>
    </xdr:from>
    <xdr:to>
      <xdr:col>31</xdr:col>
      <xdr:colOff>521698</xdr:colOff>
      <xdr:row>76</xdr:row>
      <xdr:rowOff>66675</xdr:rowOff>
    </xdr:to>
    <xdr:cxnSp macro="">
      <xdr:nvCxnSpPr>
        <xdr:cNvPr id="46902" name="직선 화살표 연결선 46901">
          <a:extLst>
            <a:ext uri="{FF2B5EF4-FFF2-40B4-BE49-F238E27FC236}">
              <a16:creationId xmlns:a16="http://schemas.microsoft.com/office/drawing/2014/main" id="{05B30F56-E2AB-37AC-BD1D-F0FA0EE6D707}"/>
            </a:ext>
          </a:extLst>
        </xdr:cNvPr>
        <xdr:cNvCxnSpPr/>
      </xdr:nvCxnSpPr>
      <xdr:spPr>
        <a:xfrm>
          <a:off x="17904823" y="116967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63</xdr:row>
      <xdr:rowOff>121920</xdr:rowOff>
    </xdr:from>
    <xdr:to>
      <xdr:col>32</xdr:col>
      <xdr:colOff>0</xdr:colOff>
      <xdr:row>63</xdr:row>
      <xdr:rowOff>236220</xdr:rowOff>
    </xdr:to>
    <xdr:sp macro="" textlink="">
      <xdr:nvSpPr>
        <xdr:cNvPr id="46927" name="55">
          <a:extLst>
            <a:ext uri="{FF2B5EF4-FFF2-40B4-BE49-F238E27FC236}">
              <a16:creationId xmlns:a16="http://schemas.microsoft.com/office/drawing/2014/main" id="{14F64FFC-644B-91A2-7821-B67B09827876}"/>
            </a:ext>
          </a:extLst>
        </xdr:cNvPr>
        <xdr:cNvSpPr/>
      </xdr:nvSpPr>
      <xdr:spPr>
        <a:xfrm>
          <a:off x="17904823" y="928497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63</xdr:row>
      <xdr:rowOff>179070</xdr:rowOff>
    </xdr:from>
    <xdr:to>
      <xdr:col>31</xdr:col>
      <xdr:colOff>521698</xdr:colOff>
      <xdr:row>63</xdr:row>
      <xdr:rowOff>179070</xdr:rowOff>
    </xdr:to>
    <xdr:cxnSp macro="">
      <xdr:nvCxnSpPr>
        <xdr:cNvPr id="46928" name="직선 화살표 연결선 46927">
          <a:extLst>
            <a:ext uri="{FF2B5EF4-FFF2-40B4-BE49-F238E27FC236}">
              <a16:creationId xmlns:a16="http://schemas.microsoft.com/office/drawing/2014/main" id="{FF771E29-401A-E762-B3BF-F2CDC6DF14F3}"/>
            </a:ext>
          </a:extLst>
        </xdr:cNvPr>
        <xdr:cNvCxnSpPr/>
      </xdr:nvCxnSpPr>
      <xdr:spPr>
        <a:xfrm>
          <a:off x="17904823" y="93421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16</xdr:row>
      <xdr:rowOff>20955</xdr:rowOff>
    </xdr:from>
    <xdr:to>
      <xdr:col>32</xdr:col>
      <xdr:colOff>0</xdr:colOff>
      <xdr:row>16</xdr:row>
      <xdr:rowOff>135255</xdr:rowOff>
    </xdr:to>
    <xdr:sp macro="" textlink="">
      <xdr:nvSpPr>
        <xdr:cNvPr id="47011" name="13">
          <a:extLst>
            <a:ext uri="{FF2B5EF4-FFF2-40B4-BE49-F238E27FC236}">
              <a16:creationId xmlns:a16="http://schemas.microsoft.com/office/drawing/2014/main" id="{ECC95C27-5F2F-E5E1-B8E0-F9C06685B347}"/>
            </a:ext>
          </a:extLst>
        </xdr:cNvPr>
        <xdr:cNvSpPr/>
      </xdr:nvSpPr>
      <xdr:spPr>
        <a:xfrm>
          <a:off x="17904823" y="26022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16</xdr:row>
      <xdr:rowOff>78105</xdr:rowOff>
    </xdr:from>
    <xdr:to>
      <xdr:col>31</xdr:col>
      <xdr:colOff>521698</xdr:colOff>
      <xdr:row>16</xdr:row>
      <xdr:rowOff>78105</xdr:rowOff>
    </xdr:to>
    <xdr:cxnSp macro="">
      <xdr:nvCxnSpPr>
        <xdr:cNvPr id="47012" name="직선 화살표 연결선 47011">
          <a:extLst>
            <a:ext uri="{FF2B5EF4-FFF2-40B4-BE49-F238E27FC236}">
              <a16:creationId xmlns:a16="http://schemas.microsoft.com/office/drawing/2014/main" id="{48D79BF4-0B49-806D-1043-5DF761D58A04}"/>
            </a:ext>
          </a:extLst>
        </xdr:cNvPr>
        <xdr:cNvCxnSpPr/>
      </xdr:nvCxnSpPr>
      <xdr:spPr>
        <a:xfrm>
          <a:off x="17904823" y="265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15</xdr:row>
      <xdr:rowOff>20955</xdr:rowOff>
    </xdr:from>
    <xdr:to>
      <xdr:col>32</xdr:col>
      <xdr:colOff>0</xdr:colOff>
      <xdr:row>15</xdr:row>
      <xdr:rowOff>135255</xdr:rowOff>
    </xdr:to>
    <xdr:sp macro="" textlink="">
      <xdr:nvSpPr>
        <xdr:cNvPr id="47013" name="12">
          <a:extLst>
            <a:ext uri="{FF2B5EF4-FFF2-40B4-BE49-F238E27FC236}">
              <a16:creationId xmlns:a16="http://schemas.microsoft.com/office/drawing/2014/main" id="{DAD54437-8C85-5140-3C33-8BDCAB72637C}"/>
            </a:ext>
          </a:extLst>
        </xdr:cNvPr>
        <xdr:cNvSpPr/>
      </xdr:nvSpPr>
      <xdr:spPr>
        <a:xfrm>
          <a:off x="17904823" y="2449830"/>
          <a:ext cx="39424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15</xdr:row>
      <xdr:rowOff>78105</xdr:rowOff>
    </xdr:from>
    <xdr:to>
      <xdr:col>31</xdr:col>
      <xdr:colOff>521698</xdr:colOff>
      <xdr:row>15</xdr:row>
      <xdr:rowOff>78105</xdr:rowOff>
    </xdr:to>
    <xdr:cxnSp macro="">
      <xdr:nvCxnSpPr>
        <xdr:cNvPr id="47014" name="직선 화살표 연결선 47013">
          <a:extLst>
            <a:ext uri="{FF2B5EF4-FFF2-40B4-BE49-F238E27FC236}">
              <a16:creationId xmlns:a16="http://schemas.microsoft.com/office/drawing/2014/main" id="{FBC0CC45-8BF4-DFC2-8DDD-020CEFB2144D}"/>
            </a:ext>
          </a:extLst>
        </xdr:cNvPr>
        <xdr:cNvCxnSpPr/>
      </xdr:nvCxnSpPr>
      <xdr:spPr>
        <a:xfrm>
          <a:off x="17904823" y="250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14</xdr:row>
      <xdr:rowOff>20955</xdr:rowOff>
    </xdr:from>
    <xdr:to>
      <xdr:col>32</xdr:col>
      <xdr:colOff>0</xdr:colOff>
      <xdr:row>14</xdr:row>
      <xdr:rowOff>135255</xdr:rowOff>
    </xdr:to>
    <xdr:sp macro="" textlink="">
      <xdr:nvSpPr>
        <xdr:cNvPr id="47015" name="11">
          <a:extLst>
            <a:ext uri="{FF2B5EF4-FFF2-40B4-BE49-F238E27FC236}">
              <a16:creationId xmlns:a16="http://schemas.microsoft.com/office/drawing/2014/main" id="{0F68DD00-1F79-0EC4-3207-6971EBACAE51}"/>
            </a:ext>
          </a:extLst>
        </xdr:cNvPr>
        <xdr:cNvSpPr/>
      </xdr:nvSpPr>
      <xdr:spPr>
        <a:xfrm>
          <a:off x="17904823" y="2297430"/>
          <a:ext cx="9733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14</xdr:row>
      <xdr:rowOff>78105</xdr:rowOff>
    </xdr:from>
    <xdr:to>
      <xdr:col>31</xdr:col>
      <xdr:colOff>521698</xdr:colOff>
      <xdr:row>14</xdr:row>
      <xdr:rowOff>78105</xdr:rowOff>
    </xdr:to>
    <xdr:cxnSp macro="">
      <xdr:nvCxnSpPr>
        <xdr:cNvPr id="47016" name="직선 화살표 연결선 47015">
          <a:extLst>
            <a:ext uri="{FF2B5EF4-FFF2-40B4-BE49-F238E27FC236}">
              <a16:creationId xmlns:a16="http://schemas.microsoft.com/office/drawing/2014/main" id="{D8573093-86A9-0248-58E9-74C88AFA1144}"/>
            </a:ext>
          </a:extLst>
        </xdr:cNvPr>
        <xdr:cNvCxnSpPr/>
      </xdr:nvCxnSpPr>
      <xdr:spPr>
        <a:xfrm>
          <a:off x="17904823" y="235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10</xdr:row>
      <xdr:rowOff>20955</xdr:rowOff>
    </xdr:from>
    <xdr:to>
      <xdr:col>32</xdr:col>
      <xdr:colOff>0</xdr:colOff>
      <xdr:row>10</xdr:row>
      <xdr:rowOff>135255</xdr:rowOff>
    </xdr:to>
    <xdr:sp macro="" textlink="">
      <xdr:nvSpPr>
        <xdr:cNvPr id="47023" name="7">
          <a:extLst>
            <a:ext uri="{FF2B5EF4-FFF2-40B4-BE49-F238E27FC236}">
              <a16:creationId xmlns:a16="http://schemas.microsoft.com/office/drawing/2014/main" id="{EDD33745-120B-35E5-3874-5C9265451533}"/>
            </a:ext>
          </a:extLst>
        </xdr:cNvPr>
        <xdr:cNvSpPr/>
      </xdr:nvSpPr>
      <xdr:spPr>
        <a:xfrm>
          <a:off x="17904823" y="1687830"/>
          <a:ext cx="31450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10</xdr:row>
      <xdr:rowOff>78105</xdr:rowOff>
    </xdr:from>
    <xdr:to>
      <xdr:col>31</xdr:col>
      <xdr:colOff>521698</xdr:colOff>
      <xdr:row>10</xdr:row>
      <xdr:rowOff>78105</xdr:rowOff>
    </xdr:to>
    <xdr:cxnSp macro="">
      <xdr:nvCxnSpPr>
        <xdr:cNvPr id="47024" name="직선 화살표 연결선 47023">
          <a:extLst>
            <a:ext uri="{FF2B5EF4-FFF2-40B4-BE49-F238E27FC236}">
              <a16:creationId xmlns:a16="http://schemas.microsoft.com/office/drawing/2014/main" id="{A75FEF2B-E5D4-491B-D249-DD4B6F3E5855}"/>
            </a:ext>
          </a:extLst>
        </xdr:cNvPr>
        <xdr:cNvCxnSpPr/>
      </xdr:nvCxnSpPr>
      <xdr:spPr>
        <a:xfrm>
          <a:off x="17904823" y="174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9</xdr:row>
      <xdr:rowOff>20955</xdr:rowOff>
    </xdr:from>
    <xdr:to>
      <xdr:col>32</xdr:col>
      <xdr:colOff>0</xdr:colOff>
      <xdr:row>9</xdr:row>
      <xdr:rowOff>135255</xdr:rowOff>
    </xdr:to>
    <xdr:sp macro="" textlink="">
      <xdr:nvSpPr>
        <xdr:cNvPr id="47025" name="6">
          <a:extLst>
            <a:ext uri="{FF2B5EF4-FFF2-40B4-BE49-F238E27FC236}">
              <a16:creationId xmlns:a16="http://schemas.microsoft.com/office/drawing/2014/main" id="{90C7D37D-A2D9-24A1-DAB7-7B69D417DFAC}"/>
            </a:ext>
          </a:extLst>
        </xdr:cNvPr>
        <xdr:cNvSpPr/>
      </xdr:nvSpPr>
      <xdr:spPr>
        <a:xfrm>
          <a:off x="17904823" y="1535430"/>
          <a:ext cx="31450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9</xdr:row>
      <xdr:rowOff>78105</xdr:rowOff>
    </xdr:from>
    <xdr:to>
      <xdr:col>31</xdr:col>
      <xdr:colOff>521698</xdr:colOff>
      <xdr:row>9</xdr:row>
      <xdr:rowOff>78105</xdr:rowOff>
    </xdr:to>
    <xdr:cxnSp macro="">
      <xdr:nvCxnSpPr>
        <xdr:cNvPr id="47026" name="직선 화살표 연결선 47025">
          <a:extLst>
            <a:ext uri="{FF2B5EF4-FFF2-40B4-BE49-F238E27FC236}">
              <a16:creationId xmlns:a16="http://schemas.microsoft.com/office/drawing/2014/main" id="{C3260512-536B-1F37-4C8F-B35AE92381FA}"/>
            </a:ext>
          </a:extLst>
        </xdr:cNvPr>
        <xdr:cNvCxnSpPr/>
      </xdr:nvCxnSpPr>
      <xdr:spPr>
        <a:xfrm>
          <a:off x="17904823" y="159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8</xdr:row>
      <xdr:rowOff>20955</xdr:rowOff>
    </xdr:from>
    <xdr:to>
      <xdr:col>32</xdr:col>
      <xdr:colOff>0</xdr:colOff>
      <xdr:row>8</xdr:row>
      <xdr:rowOff>135255</xdr:rowOff>
    </xdr:to>
    <xdr:sp macro="" textlink="">
      <xdr:nvSpPr>
        <xdr:cNvPr id="47027" name="5">
          <a:extLst>
            <a:ext uri="{FF2B5EF4-FFF2-40B4-BE49-F238E27FC236}">
              <a16:creationId xmlns:a16="http://schemas.microsoft.com/office/drawing/2014/main" id="{736F01F6-33A9-8086-8A77-8544ED9CFB79}"/>
            </a:ext>
          </a:extLst>
        </xdr:cNvPr>
        <xdr:cNvSpPr/>
      </xdr:nvSpPr>
      <xdr:spPr>
        <a:xfrm>
          <a:off x="17904823" y="138303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8</xdr:row>
      <xdr:rowOff>78105</xdr:rowOff>
    </xdr:from>
    <xdr:to>
      <xdr:col>31</xdr:col>
      <xdr:colOff>521698</xdr:colOff>
      <xdr:row>8</xdr:row>
      <xdr:rowOff>78105</xdr:rowOff>
    </xdr:to>
    <xdr:cxnSp macro="">
      <xdr:nvCxnSpPr>
        <xdr:cNvPr id="47028" name="직선 화살표 연결선 47027">
          <a:extLst>
            <a:ext uri="{FF2B5EF4-FFF2-40B4-BE49-F238E27FC236}">
              <a16:creationId xmlns:a16="http://schemas.microsoft.com/office/drawing/2014/main" id="{3B297B25-0422-248D-31CB-3A7E24798CED}"/>
            </a:ext>
          </a:extLst>
        </xdr:cNvPr>
        <xdr:cNvCxnSpPr/>
      </xdr:nvCxnSpPr>
      <xdr:spPr>
        <a:xfrm>
          <a:off x="17904823" y="144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6</xdr:row>
      <xdr:rowOff>20955</xdr:rowOff>
    </xdr:from>
    <xdr:to>
      <xdr:col>32</xdr:col>
      <xdr:colOff>0</xdr:colOff>
      <xdr:row>6</xdr:row>
      <xdr:rowOff>135255</xdr:rowOff>
    </xdr:to>
    <xdr:sp macro="" textlink="">
      <xdr:nvSpPr>
        <xdr:cNvPr id="47031" name="3">
          <a:extLst>
            <a:ext uri="{FF2B5EF4-FFF2-40B4-BE49-F238E27FC236}">
              <a16:creationId xmlns:a16="http://schemas.microsoft.com/office/drawing/2014/main" id="{77AAFC7C-B85E-36A8-0FF4-4FB3D56A7526}"/>
            </a:ext>
          </a:extLst>
        </xdr:cNvPr>
        <xdr:cNvSpPr/>
      </xdr:nvSpPr>
      <xdr:spPr>
        <a:xfrm>
          <a:off x="17904823" y="1078230"/>
          <a:ext cx="2080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6</xdr:row>
      <xdr:rowOff>78105</xdr:rowOff>
    </xdr:from>
    <xdr:to>
      <xdr:col>31</xdr:col>
      <xdr:colOff>521698</xdr:colOff>
      <xdr:row>6</xdr:row>
      <xdr:rowOff>78105</xdr:rowOff>
    </xdr:to>
    <xdr:cxnSp macro="">
      <xdr:nvCxnSpPr>
        <xdr:cNvPr id="47032" name="직선 화살표 연결선 47031">
          <a:extLst>
            <a:ext uri="{FF2B5EF4-FFF2-40B4-BE49-F238E27FC236}">
              <a16:creationId xmlns:a16="http://schemas.microsoft.com/office/drawing/2014/main" id="{4BD26265-8AC1-0FBF-13F6-8FED800D49A1}"/>
            </a:ext>
          </a:extLst>
        </xdr:cNvPr>
        <xdr:cNvCxnSpPr/>
      </xdr:nvCxnSpPr>
      <xdr:spPr>
        <a:xfrm>
          <a:off x="17904823" y="113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5</xdr:row>
      <xdr:rowOff>20955</xdr:rowOff>
    </xdr:from>
    <xdr:to>
      <xdr:col>32</xdr:col>
      <xdr:colOff>0</xdr:colOff>
      <xdr:row>5</xdr:row>
      <xdr:rowOff>135255</xdr:rowOff>
    </xdr:to>
    <xdr:sp macro="" textlink="">
      <xdr:nvSpPr>
        <xdr:cNvPr id="47033" name="2">
          <a:extLst>
            <a:ext uri="{FF2B5EF4-FFF2-40B4-BE49-F238E27FC236}">
              <a16:creationId xmlns:a16="http://schemas.microsoft.com/office/drawing/2014/main" id="{D70D54EC-E91B-1918-2082-A8495A2F090B}"/>
            </a:ext>
          </a:extLst>
        </xdr:cNvPr>
        <xdr:cNvSpPr/>
      </xdr:nvSpPr>
      <xdr:spPr>
        <a:xfrm>
          <a:off x="17904823" y="925830"/>
          <a:ext cx="22878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5</xdr:row>
      <xdr:rowOff>78105</xdr:rowOff>
    </xdr:from>
    <xdr:to>
      <xdr:col>31</xdr:col>
      <xdr:colOff>521698</xdr:colOff>
      <xdr:row>5</xdr:row>
      <xdr:rowOff>78105</xdr:rowOff>
    </xdr:to>
    <xdr:cxnSp macro="">
      <xdr:nvCxnSpPr>
        <xdr:cNvPr id="47034" name="직선 화살표 연결선 47033">
          <a:extLst>
            <a:ext uri="{FF2B5EF4-FFF2-40B4-BE49-F238E27FC236}">
              <a16:creationId xmlns:a16="http://schemas.microsoft.com/office/drawing/2014/main" id="{A918F811-3533-94BF-0401-BB139A1B3685}"/>
            </a:ext>
          </a:extLst>
        </xdr:cNvPr>
        <xdr:cNvCxnSpPr/>
      </xdr:nvCxnSpPr>
      <xdr:spPr>
        <a:xfrm>
          <a:off x="17904823" y="98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4</xdr:row>
      <xdr:rowOff>20955</xdr:rowOff>
    </xdr:from>
    <xdr:to>
      <xdr:col>32</xdr:col>
      <xdr:colOff>0</xdr:colOff>
      <xdr:row>4</xdr:row>
      <xdr:rowOff>135255</xdr:rowOff>
    </xdr:to>
    <xdr:sp macro="" textlink="">
      <xdr:nvSpPr>
        <xdr:cNvPr id="47035" name="1">
          <a:extLst>
            <a:ext uri="{FF2B5EF4-FFF2-40B4-BE49-F238E27FC236}">
              <a16:creationId xmlns:a16="http://schemas.microsoft.com/office/drawing/2014/main" id="{08F3FE9A-FFF4-81C3-AAB4-8CBAD92C0468}"/>
            </a:ext>
          </a:extLst>
        </xdr:cNvPr>
        <xdr:cNvSpPr/>
      </xdr:nvSpPr>
      <xdr:spPr>
        <a:xfrm>
          <a:off x="17904823" y="77343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4</xdr:row>
      <xdr:rowOff>78105</xdr:rowOff>
    </xdr:from>
    <xdr:to>
      <xdr:col>31</xdr:col>
      <xdr:colOff>521698</xdr:colOff>
      <xdr:row>4</xdr:row>
      <xdr:rowOff>78105</xdr:rowOff>
    </xdr:to>
    <xdr:cxnSp macro="">
      <xdr:nvCxnSpPr>
        <xdr:cNvPr id="47036" name="직선 화살표 연결선 47035">
          <a:extLst>
            <a:ext uri="{FF2B5EF4-FFF2-40B4-BE49-F238E27FC236}">
              <a16:creationId xmlns:a16="http://schemas.microsoft.com/office/drawing/2014/main" id="{0D6F41F4-FCEC-DBC6-100E-58EF5FA6A6C6}"/>
            </a:ext>
          </a:extLst>
        </xdr:cNvPr>
        <xdr:cNvCxnSpPr/>
      </xdr:nvCxnSpPr>
      <xdr:spPr>
        <a:xfrm>
          <a:off x="17904823" y="83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77</xdr:row>
      <xdr:rowOff>9525</xdr:rowOff>
    </xdr:from>
    <xdr:to>
      <xdr:col>32</xdr:col>
      <xdr:colOff>0</xdr:colOff>
      <xdr:row>77</xdr:row>
      <xdr:rowOff>123825</xdr:rowOff>
    </xdr:to>
    <xdr:sp macro="" textlink="">
      <xdr:nvSpPr>
        <xdr:cNvPr id="47047" name="69">
          <a:extLst>
            <a:ext uri="{FF2B5EF4-FFF2-40B4-BE49-F238E27FC236}">
              <a16:creationId xmlns:a16="http://schemas.microsoft.com/office/drawing/2014/main" id="{60F6D39E-4503-40B7-5D67-9F4C9C8616BA}"/>
            </a:ext>
          </a:extLst>
        </xdr:cNvPr>
        <xdr:cNvSpPr/>
      </xdr:nvSpPr>
      <xdr:spPr>
        <a:xfrm>
          <a:off x="17904823" y="11791950"/>
          <a:ext cx="68380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77</xdr:row>
      <xdr:rowOff>66675</xdr:rowOff>
    </xdr:from>
    <xdr:to>
      <xdr:col>31</xdr:col>
      <xdr:colOff>521698</xdr:colOff>
      <xdr:row>77</xdr:row>
      <xdr:rowOff>66675</xdr:rowOff>
    </xdr:to>
    <xdr:cxnSp macro="">
      <xdr:nvCxnSpPr>
        <xdr:cNvPr id="47048" name="직선 화살표 연결선 47047">
          <a:extLst>
            <a:ext uri="{FF2B5EF4-FFF2-40B4-BE49-F238E27FC236}">
              <a16:creationId xmlns:a16="http://schemas.microsoft.com/office/drawing/2014/main" id="{4F0072A3-D01D-2B16-5A52-5694C73F3430}"/>
            </a:ext>
          </a:extLst>
        </xdr:cNvPr>
        <xdr:cNvCxnSpPr/>
      </xdr:nvCxnSpPr>
      <xdr:spPr>
        <a:xfrm>
          <a:off x="17904823" y="118491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76</xdr:row>
      <xdr:rowOff>9525</xdr:rowOff>
    </xdr:from>
    <xdr:to>
      <xdr:col>32</xdr:col>
      <xdr:colOff>0</xdr:colOff>
      <xdr:row>76</xdr:row>
      <xdr:rowOff>123825</xdr:rowOff>
    </xdr:to>
    <xdr:sp macro="" textlink="">
      <xdr:nvSpPr>
        <xdr:cNvPr id="47049" name="68">
          <a:extLst>
            <a:ext uri="{FF2B5EF4-FFF2-40B4-BE49-F238E27FC236}">
              <a16:creationId xmlns:a16="http://schemas.microsoft.com/office/drawing/2014/main" id="{92F214A0-D502-F140-7657-EF5DEB17DB32}"/>
            </a:ext>
          </a:extLst>
        </xdr:cNvPr>
        <xdr:cNvSpPr/>
      </xdr:nvSpPr>
      <xdr:spPr>
        <a:xfrm>
          <a:off x="17904823" y="1163955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76</xdr:row>
      <xdr:rowOff>66675</xdr:rowOff>
    </xdr:from>
    <xdr:to>
      <xdr:col>31</xdr:col>
      <xdr:colOff>521698</xdr:colOff>
      <xdr:row>76</xdr:row>
      <xdr:rowOff>66675</xdr:rowOff>
    </xdr:to>
    <xdr:cxnSp macro="">
      <xdr:nvCxnSpPr>
        <xdr:cNvPr id="47050" name="직선 화살표 연결선 47049">
          <a:extLst>
            <a:ext uri="{FF2B5EF4-FFF2-40B4-BE49-F238E27FC236}">
              <a16:creationId xmlns:a16="http://schemas.microsoft.com/office/drawing/2014/main" id="{C313EA06-5808-F2FE-7BF4-6CAF408B85F6}"/>
            </a:ext>
          </a:extLst>
        </xdr:cNvPr>
        <xdr:cNvCxnSpPr/>
      </xdr:nvCxnSpPr>
      <xdr:spPr>
        <a:xfrm>
          <a:off x="17904823" y="116967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63</xdr:row>
      <xdr:rowOff>121920</xdr:rowOff>
    </xdr:from>
    <xdr:to>
      <xdr:col>32</xdr:col>
      <xdr:colOff>0</xdr:colOff>
      <xdr:row>63</xdr:row>
      <xdr:rowOff>236220</xdr:rowOff>
    </xdr:to>
    <xdr:sp macro="" textlink="">
      <xdr:nvSpPr>
        <xdr:cNvPr id="47075" name="55">
          <a:extLst>
            <a:ext uri="{FF2B5EF4-FFF2-40B4-BE49-F238E27FC236}">
              <a16:creationId xmlns:a16="http://schemas.microsoft.com/office/drawing/2014/main" id="{D54CFE63-EBEB-9AFE-E5A0-E96989C7515E}"/>
            </a:ext>
          </a:extLst>
        </xdr:cNvPr>
        <xdr:cNvSpPr/>
      </xdr:nvSpPr>
      <xdr:spPr>
        <a:xfrm>
          <a:off x="17904823" y="928497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63</xdr:row>
      <xdr:rowOff>179070</xdr:rowOff>
    </xdr:from>
    <xdr:to>
      <xdr:col>31</xdr:col>
      <xdr:colOff>521698</xdr:colOff>
      <xdr:row>63</xdr:row>
      <xdr:rowOff>179070</xdr:rowOff>
    </xdr:to>
    <xdr:cxnSp macro="">
      <xdr:nvCxnSpPr>
        <xdr:cNvPr id="47076" name="직선 화살표 연결선 47075">
          <a:extLst>
            <a:ext uri="{FF2B5EF4-FFF2-40B4-BE49-F238E27FC236}">
              <a16:creationId xmlns:a16="http://schemas.microsoft.com/office/drawing/2014/main" id="{1622504C-54E7-E42E-178B-79E47EFAC61E}"/>
            </a:ext>
          </a:extLst>
        </xdr:cNvPr>
        <xdr:cNvCxnSpPr/>
      </xdr:nvCxnSpPr>
      <xdr:spPr>
        <a:xfrm>
          <a:off x="17904823" y="93421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16</xdr:row>
      <xdr:rowOff>20955</xdr:rowOff>
    </xdr:from>
    <xdr:to>
      <xdr:col>32</xdr:col>
      <xdr:colOff>0</xdr:colOff>
      <xdr:row>16</xdr:row>
      <xdr:rowOff>135255</xdr:rowOff>
    </xdr:to>
    <xdr:sp macro="" textlink="">
      <xdr:nvSpPr>
        <xdr:cNvPr id="47159" name="13">
          <a:extLst>
            <a:ext uri="{FF2B5EF4-FFF2-40B4-BE49-F238E27FC236}">
              <a16:creationId xmlns:a16="http://schemas.microsoft.com/office/drawing/2014/main" id="{64016511-512E-7284-B1D0-604044F3556B}"/>
            </a:ext>
          </a:extLst>
        </xdr:cNvPr>
        <xdr:cNvSpPr/>
      </xdr:nvSpPr>
      <xdr:spPr>
        <a:xfrm>
          <a:off x="17904823" y="26022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16</xdr:row>
      <xdr:rowOff>78105</xdr:rowOff>
    </xdr:from>
    <xdr:to>
      <xdr:col>31</xdr:col>
      <xdr:colOff>521698</xdr:colOff>
      <xdr:row>16</xdr:row>
      <xdr:rowOff>78105</xdr:rowOff>
    </xdr:to>
    <xdr:cxnSp macro="">
      <xdr:nvCxnSpPr>
        <xdr:cNvPr id="47160" name="직선 화살표 연결선 47159">
          <a:extLst>
            <a:ext uri="{FF2B5EF4-FFF2-40B4-BE49-F238E27FC236}">
              <a16:creationId xmlns:a16="http://schemas.microsoft.com/office/drawing/2014/main" id="{2126DBBE-F192-3DE5-C420-E79C19A8D4AE}"/>
            </a:ext>
          </a:extLst>
        </xdr:cNvPr>
        <xdr:cNvCxnSpPr/>
      </xdr:nvCxnSpPr>
      <xdr:spPr>
        <a:xfrm>
          <a:off x="17904823" y="265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15</xdr:row>
      <xdr:rowOff>20955</xdr:rowOff>
    </xdr:from>
    <xdr:to>
      <xdr:col>32</xdr:col>
      <xdr:colOff>0</xdr:colOff>
      <xdr:row>15</xdr:row>
      <xdr:rowOff>135255</xdr:rowOff>
    </xdr:to>
    <xdr:sp macro="" textlink="">
      <xdr:nvSpPr>
        <xdr:cNvPr id="47161" name="12">
          <a:extLst>
            <a:ext uri="{FF2B5EF4-FFF2-40B4-BE49-F238E27FC236}">
              <a16:creationId xmlns:a16="http://schemas.microsoft.com/office/drawing/2014/main" id="{D3E08647-6651-41C3-182B-692981506867}"/>
            </a:ext>
          </a:extLst>
        </xdr:cNvPr>
        <xdr:cNvSpPr/>
      </xdr:nvSpPr>
      <xdr:spPr>
        <a:xfrm>
          <a:off x="17904823" y="2449830"/>
          <a:ext cx="39424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15</xdr:row>
      <xdr:rowOff>78105</xdr:rowOff>
    </xdr:from>
    <xdr:to>
      <xdr:col>31</xdr:col>
      <xdr:colOff>521698</xdr:colOff>
      <xdr:row>15</xdr:row>
      <xdr:rowOff>78105</xdr:rowOff>
    </xdr:to>
    <xdr:cxnSp macro="">
      <xdr:nvCxnSpPr>
        <xdr:cNvPr id="47162" name="직선 화살표 연결선 47161">
          <a:extLst>
            <a:ext uri="{FF2B5EF4-FFF2-40B4-BE49-F238E27FC236}">
              <a16:creationId xmlns:a16="http://schemas.microsoft.com/office/drawing/2014/main" id="{A5655943-ED7A-B170-0064-8042999F2CE7}"/>
            </a:ext>
          </a:extLst>
        </xdr:cNvPr>
        <xdr:cNvCxnSpPr/>
      </xdr:nvCxnSpPr>
      <xdr:spPr>
        <a:xfrm>
          <a:off x="17904823" y="250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14</xdr:row>
      <xdr:rowOff>20955</xdr:rowOff>
    </xdr:from>
    <xdr:to>
      <xdr:col>32</xdr:col>
      <xdr:colOff>0</xdr:colOff>
      <xdr:row>14</xdr:row>
      <xdr:rowOff>135255</xdr:rowOff>
    </xdr:to>
    <xdr:sp macro="" textlink="">
      <xdr:nvSpPr>
        <xdr:cNvPr id="47163" name="11">
          <a:extLst>
            <a:ext uri="{FF2B5EF4-FFF2-40B4-BE49-F238E27FC236}">
              <a16:creationId xmlns:a16="http://schemas.microsoft.com/office/drawing/2014/main" id="{44F7196B-932D-EB0F-2F1E-9DF0949DCA00}"/>
            </a:ext>
          </a:extLst>
        </xdr:cNvPr>
        <xdr:cNvSpPr/>
      </xdr:nvSpPr>
      <xdr:spPr>
        <a:xfrm>
          <a:off x="17904823" y="2297430"/>
          <a:ext cx="9733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14</xdr:row>
      <xdr:rowOff>78105</xdr:rowOff>
    </xdr:from>
    <xdr:to>
      <xdr:col>31</xdr:col>
      <xdr:colOff>521698</xdr:colOff>
      <xdr:row>14</xdr:row>
      <xdr:rowOff>78105</xdr:rowOff>
    </xdr:to>
    <xdr:cxnSp macro="">
      <xdr:nvCxnSpPr>
        <xdr:cNvPr id="47164" name="직선 화살표 연결선 47163">
          <a:extLst>
            <a:ext uri="{FF2B5EF4-FFF2-40B4-BE49-F238E27FC236}">
              <a16:creationId xmlns:a16="http://schemas.microsoft.com/office/drawing/2014/main" id="{4BFBF76C-E87B-9224-77FD-5C2576AB37BF}"/>
            </a:ext>
          </a:extLst>
        </xdr:cNvPr>
        <xdr:cNvCxnSpPr/>
      </xdr:nvCxnSpPr>
      <xdr:spPr>
        <a:xfrm>
          <a:off x="17904823" y="235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10</xdr:row>
      <xdr:rowOff>20955</xdr:rowOff>
    </xdr:from>
    <xdr:to>
      <xdr:col>32</xdr:col>
      <xdr:colOff>0</xdr:colOff>
      <xdr:row>10</xdr:row>
      <xdr:rowOff>135255</xdr:rowOff>
    </xdr:to>
    <xdr:sp macro="" textlink="">
      <xdr:nvSpPr>
        <xdr:cNvPr id="47171" name="7">
          <a:extLst>
            <a:ext uri="{FF2B5EF4-FFF2-40B4-BE49-F238E27FC236}">
              <a16:creationId xmlns:a16="http://schemas.microsoft.com/office/drawing/2014/main" id="{E6841905-9AD2-6773-0F76-41FF6F34366C}"/>
            </a:ext>
          </a:extLst>
        </xdr:cNvPr>
        <xdr:cNvSpPr/>
      </xdr:nvSpPr>
      <xdr:spPr>
        <a:xfrm>
          <a:off x="17904823" y="1687830"/>
          <a:ext cx="31450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10</xdr:row>
      <xdr:rowOff>78105</xdr:rowOff>
    </xdr:from>
    <xdr:to>
      <xdr:col>31</xdr:col>
      <xdr:colOff>521698</xdr:colOff>
      <xdr:row>10</xdr:row>
      <xdr:rowOff>78105</xdr:rowOff>
    </xdr:to>
    <xdr:cxnSp macro="">
      <xdr:nvCxnSpPr>
        <xdr:cNvPr id="47172" name="직선 화살표 연결선 47171">
          <a:extLst>
            <a:ext uri="{FF2B5EF4-FFF2-40B4-BE49-F238E27FC236}">
              <a16:creationId xmlns:a16="http://schemas.microsoft.com/office/drawing/2014/main" id="{94D3D890-653D-02FA-A024-129A33E0368A}"/>
            </a:ext>
          </a:extLst>
        </xdr:cNvPr>
        <xdr:cNvCxnSpPr/>
      </xdr:nvCxnSpPr>
      <xdr:spPr>
        <a:xfrm>
          <a:off x="17904823" y="174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9</xdr:row>
      <xdr:rowOff>20955</xdr:rowOff>
    </xdr:from>
    <xdr:to>
      <xdr:col>32</xdr:col>
      <xdr:colOff>0</xdr:colOff>
      <xdr:row>9</xdr:row>
      <xdr:rowOff>135255</xdr:rowOff>
    </xdr:to>
    <xdr:sp macro="" textlink="">
      <xdr:nvSpPr>
        <xdr:cNvPr id="47173" name="6">
          <a:extLst>
            <a:ext uri="{FF2B5EF4-FFF2-40B4-BE49-F238E27FC236}">
              <a16:creationId xmlns:a16="http://schemas.microsoft.com/office/drawing/2014/main" id="{22541F4B-08AE-62BB-8680-96C62DDDEF8A}"/>
            </a:ext>
          </a:extLst>
        </xdr:cNvPr>
        <xdr:cNvSpPr/>
      </xdr:nvSpPr>
      <xdr:spPr>
        <a:xfrm>
          <a:off x="17904823" y="1535430"/>
          <a:ext cx="31450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9</xdr:row>
      <xdr:rowOff>78105</xdr:rowOff>
    </xdr:from>
    <xdr:to>
      <xdr:col>31</xdr:col>
      <xdr:colOff>521698</xdr:colOff>
      <xdr:row>9</xdr:row>
      <xdr:rowOff>78105</xdr:rowOff>
    </xdr:to>
    <xdr:cxnSp macro="">
      <xdr:nvCxnSpPr>
        <xdr:cNvPr id="47174" name="직선 화살표 연결선 47173">
          <a:extLst>
            <a:ext uri="{FF2B5EF4-FFF2-40B4-BE49-F238E27FC236}">
              <a16:creationId xmlns:a16="http://schemas.microsoft.com/office/drawing/2014/main" id="{3209126C-6551-048F-FD5F-FB2D5D91A17C}"/>
            </a:ext>
          </a:extLst>
        </xdr:cNvPr>
        <xdr:cNvCxnSpPr/>
      </xdr:nvCxnSpPr>
      <xdr:spPr>
        <a:xfrm>
          <a:off x="17904823" y="159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8</xdr:row>
      <xdr:rowOff>20955</xdr:rowOff>
    </xdr:from>
    <xdr:to>
      <xdr:col>32</xdr:col>
      <xdr:colOff>0</xdr:colOff>
      <xdr:row>8</xdr:row>
      <xdr:rowOff>135255</xdr:rowOff>
    </xdr:to>
    <xdr:sp macro="" textlink="">
      <xdr:nvSpPr>
        <xdr:cNvPr id="47175" name="5">
          <a:extLst>
            <a:ext uri="{FF2B5EF4-FFF2-40B4-BE49-F238E27FC236}">
              <a16:creationId xmlns:a16="http://schemas.microsoft.com/office/drawing/2014/main" id="{49E14555-18FB-74C0-E5C5-006D1AB1DD8B}"/>
            </a:ext>
          </a:extLst>
        </xdr:cNvPr>
        <xdr:cNvSpPr/>
      </xdr:nvSpPr>
      <xdr:spPr>
        <a:xfrm>
          <a:off x="17904823" y="138303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8</xdr:row>
      <xdr:rowOff>78105</xdr:rowOff>
    </xdr:from>
    <xdr:to>
      <xdr:col>31</xdr:col>
      <xdr:colOff>521698</xdr:colOff>
      <xdr:row>8</xdr:row>
      <xdr:rowOff>78105</xdr:rowOff>
    </xdr:to>
    <xdr:cxnSp macro="">
      <xdr:nvCxnSpPr>
        <xdr:cNvPr id="47176" name="직선 화살표 연결선 47175">
          <a:extLst>
            <a:ext uri="{FF2B5EF4-FFF2-40B4-BE49-F238E27FC236}">
              <a16:creationId xmlns:a16="http://schemas.microsoft.com/office/drawing/2014/main" id="{7670EF85-A757-CD8F-5F9B-7F38C3844706}"/>
            </a:ext>
          </a:extLst>
        </xdr:cNvPr>
        <xdr:cNvCxnSpPr/>
      </xdr:nvCxnSpPr>
      <xdr:spPr>
        <a:xfrm>
          <a:off x="17904823" y="144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6</xdr:row>
      <xdr:rowOff>20955</xdr:rowOff>
    </xdr:from>
    <xdr:to>
      <xdr:col>32</xdr:col>
      <xdr:colOff>0</xdr:colOff>
      <xdr:row>6</xdr:row>
      <xdr:rowOff>135255</xdr:rowOff>
    </xdr:to>
    <xdr:sp macro="" textlink="">
      <xdr:nvSpPr>
        <xdr:cNvPr id="47179" name="3">
          <a:extLst>
            <a:ext uri="{FF2B5EF4-FFF2-40B4-BE49-F238E27FC236}">
              <a16:creationId xmlns:a16="http://schemas.microsoft.com/office/drawing/2014/main" id="{43415F9D-C76D-FBBF-0B3E-A73C85395291}"/>
            </a:ext>
          </a:extLst>
        </xdr:cNvPr>
        <xdr:cNvSpPr/>
      </xdr:nvSpPr>
      <xdr:spPr>
        <a:xfrm>
          <a:off x="17904823" y="1078230"/>
          <a:ext cx="2080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6</xdr:row>
      <xdr:rowOff>78105</xdr:rowOff>
    </xdr:from>
    <xdr:to>
      <xdr:col>31</xdr:col>
      <xdr:colOff>521698</xdr:colOff>
      <xdr:row>6</xdr:row>
      <xdr:rowOff>78105</xdr:rowOff>
    </xdr:to>
    <xdr:cxnSp macro="">
      <xdr:nvCxnSpPr>
        <xdr:cNvPr id="47180" name="직선 화살표 연결선 47179">
          <a:extLst>
            <a:ext uri="{FF2B5EF4-FFF2-40B4-BE49-F238E27FC236}">
              <a16:creationId xmlns:a16="http://schemas.microsoft.com/office/drawing/2014/main" id="{7A10FB8B-8859-D29C-650A-55088FB6DE24}"/>
            </a:ext>
          </a:extLst>
        </xdr:cNvPr>
        <xdr:cNvCxnSpPr/>
      </xdr:nvCxnSpPr>
      <xdr:spPr>
        <a:xfrm>
          <a:off x="17904823" y="113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5</xdr:row>
      <xdr:rowOff>20955</xdr:rowOff>
    </xdr:from>
    <xdr:to>
      <xdr:col>32</xdr:col>
      <xdr:colOff>0</xdr:colOff>
      <xdr:row>5</xdr:row>
      <xdr:rowOff>135255</xdr:rowOff>
    </xdr:to>
    <xdr:sp macro="" textlink="">
      <xdr:nvSpPr>
        <xdr:cNvPr id="47181" name="2">
          <a:extLst>
            <a:ext uri="{FF2B5EF4-FFF2-40B4-BE49-F238E27FC236}">
              <a16:creationId xmlns:a16="http://schemas.microsoft.com/office/drawing/2014/main" id="{CD6355EA-1744-3681-62F9-654DF0B00824}"/>
            </a:ext>
          </a:extLst>
        </xdr:cNvPr>
        <xdr:cNvSpPr/>
      </xdr:nvSpPr>
      <xdr:spPr>
        <a:xfrm>
          <a:off x="17904823" y="925830"/>
          <a:ext cx="22878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5</xdr:row>
      <xdr:rowOff>78105</xdr:rowOff>
    </xdr:from>
    <xdr:to>
      <xdr:col>31</xdr:col>
      <xdr:colOff>521698</xdr:colOff>
      <xdr:row>5</xdr:row>
      <xdr:rowOff>78105</xdr:rowOff>
    </xdr:to>
    <xdr:cxnSp macro="">
      <xdr:nvCxnSpPr>
        <xdr:cNvPr id="47182" name="직선 화살표 연결선 47181">
          <a:extLst>
            <a:ext uri="{FF2B5EF4-FFF2-40B4-BE49-F238E27FC236}">
              <a16:creationId xmlns:a16="http://schemas.microsoft.com/office/drawing/2014/main" id="{E841EEF9-FA3E-BE58-EBDB-F7004BB117DD}"/>
            </a:ext>
          </a:extLst>
        </xdr:cNvPr>
        <xdr:cNvCxnSpPr/>
      </xdr:nvCxnSpPr>
      <xdr:spPr>
        <a:xfrm>
          <a:off x="17904823" y="98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4</xdr:row>
      <xdr:rowOff>20955</xdr:rowOff>
    </xdr:from>
    <xdr:to>
      <xdr:col>32</xdr:col>
      <xdr:colOff>0</xdr:colOff>
      <xdr:row>4</xdr:row>
      <xdr:rowOff>135255</xdr:rowOff>
    </xdr:to>
    <xdr:sp macro="" textlink="">
      <xdr:nvSpPr>
        <xdr:cNvPr id="47183" name="1">
          <a:extLst>
            <a:ext uri="{FF2B5EF4-FFF2-40B4-BE49-F238E27FC236}">
              <a16:creationId xmlns:a16="http://schemas.microsoft.com/office/drawing/2014/main" id="{C57BAD91-6F57-4816-9946-F11A96CDD859}"/>
            </a:ext>
          </a:extLst>
        </xdr:cNvPr>
        <xdr:cNvSpPr/>
      </xdr:nvSpPr>
      <xdr:spPr>
        <a:xfrm>
          <a:off x="17904823" y="77343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4</xdr:row>
      <xdr:rowOff>78105</xdr:rowOff>
    </xdr:from>
    <xdr:to>
      <xdr:col>31</xdr:col>
      <xdr:colOff>521698</xdr:colOff>
      <xdr:row>4</xdr:row>
      <xdr:rowOff>78105</xdr:rowOff>
    </xdr:to>
    <xdr:cxnSp macro="">
      <xdr:nvCxnSpPr>
        <xdr:cNvPr id="47184" name="직선 화살표 연결선 47183">
          <a:extLst>
            <a:ext uri="{FF2B5EF4-FFF2-40B4-BE49-F238E27FC236}">
              <a16:creationId xmlns:a16="http://schemas.microsoft.com/office/drawing/2014/main" id="{4DCA8A7B-88D2-5FEC-4F98-1267DB2FB93B}"/>
            </a:ext>
          </a:extLst>
        </xdr:cNvPr>
        <xdr:cNvCxnSpPr/>
      </xdr:nvCxnSpPr>
      <xdr:spPr>
        <a:xfrm>
          <a:off x="17904823" y="83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77</xdr:row>
      <xdr:rowOff>9525</xdr:rowOff>
    </xdr:from>
    <xdr:to>
      <xdr:col>32</xdr:col>
      <xdr:colOff>0</xdr:colOff>
      <xdr:row>77</xdr:row>
      <xdr:rowOff>123825</xdr:rowOff>
    </xdr:to>
    <xdr:sp macro="" textlink="">
      <xdr:nvSpPr>
        <xdr:cNvPr id="47195" name="68">
          <a:extLst>
            <a:ext uri="{FF2B5EF4-FFF2-40B4-BE49-F238E27FC236}">
              <a16:creationId xmlns:a16="http://schemas.microsoft.com/office/drawing/2014/main" id="{3E53C07E-2320-E941-1528-A62624F383F1}"/>
            </a:ext>
          </a:extLst>
        </xdr:cNvPr>
        <xdr:cNvSpPr/>
      </xdr:nvSpPr>
      <xdr:spPr>
        <a:xfrm>
          <a:off x="17904823" y="11639550"/>
          <a:ext cx="68380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77</xdr:row>
      <xdr:rowOff>66675</xdr:rowOff>
    </xdr:from>
    <xdr:to>
      <xdr:col>31</xdr:col>
      <xdr:colOff>521698</xdr:colOff>
      <xdr:row>77</xdr:row>
      <xdr:rowOff>66675</xdr:rowOff>
    </xdr:to>
    <xdr:cxnSp macro="">
      <xdr:nvCxnSpPr>
        <xdr:cNvPr id="47196" name="직선 화살표 연결선 47195">
          <a:extLst>
            <a:ext uri="{FF2B5EF4-FFF2-40B4-BE49-F238E27FC236}">
              <a16:creationId xmlns:a16="http://schemas.microsoft.com/office/drawing/2014/main" id="{91C160FC-9615-BA9D-FF90-0B301948407E}"/>
            </a:ext>
          </a:extLst>
        </xdr:cNvPr>
        <xdr:cNvCxnSpPr/>
      </xdr:nvCxnSpPr>
      <xdr:spPr>
        <a:xfrm>
          <a:off x="17904823" y="116967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76</xdr:row>
      <xdr:rowOff>9525</xdr:rowOff>
    </xdr:from>
    <xdr:to>
      <xdr:col>32</xdr:col>
      <xdr:colOff>0</xdr:colOff>
      <xdr:row>76</xdr:row>
      <xdr:rowOff>123825</xdr:rowOff>
    </xdr:to>
    <xdr:sp macro="" textlink="">
      <xdr:nvSpPr>
        <xdr:cNvPr id="47197" name="67">
          <a:extLst>
            <a:ext uri="{FF2B5EF4-FFF2-40B4-BE49-F238E27FC236}">
              <a16:creationId xmlns:a16="http://schemas.microsoft.com/office/drawing/2014/main" id="{31F30FDD-D50C-325F-3A54-902E63DA023F}"/>
            </a:ext>
          </a:extLst>
        </xdr:cNvPr>
        <xdr:cNvSpPr/>
      </xdr:nvSpPr>
      <xdr:spPr>
        <a:xfrm>
          <a:off x="17904823" y="1148715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76</xdr:row>
      <xdr:rowOff>66675</xdr:rowOff>
    </xdr:from>
    <xdr:to>
      <xdr:col>31</xdr:col>
      <xdr:colOff>521698</xdr:colOff>
      <xdr:row>76</xdr:row>
      <xdr:rowOff>66675</xdr:rowOff>
    </xdr:to>
    <xdr:cxnSp macro="">
      <xdr:nvCxnSpPr>
        <xdr:cNvPr id="47198" name="직선 화살표 연결선 47197">
          <a:extLst>
            <a:ext uri="{FF2B5EF4-FFF2-40B4-BE49-F238E27FC236}">
              <a16:creationId xmlns:a16="http://schemas.microsoft.com/office/drawing/2014/main" id="{B699863B-1483-9A96-D6B1-3D853D0D827B}"/>
            </a:ext>
          </a:extLst>
        </xdr:cNvPr>
        <xdr:cNvCxnSpPr/>
      </xdr:nvCxnSpPr>
      <xdr:spPr>
        <a:xfrm>
          <a:off x="17904823" y="115443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63</xdr:row>
      <xdr:rowOff>121920</xdr:rowOff>
    </xdr:from>
    <xdr:to>
      <xdr:col>32</xdr:col>
      <xdr:colOff>0</xdr:colOff>
      <xdr:row>63</xdr:row>
      <xdr:rowOff>236220</xdr:rowOff>
    </xdr:to>
    <xdr:sp macro="" textlink="">
      <xdr:nvSpPr>
        <xdr:cNvPr id="47223" name="54">
          <a:extLst>
            <a:ext uri="{FF2B5EF4-FFF2-40B4-BE49-F238E27FC236}">
              <a16:creationId xmlns:a16="http://schemas.microsoft.com/office/drawing/2014/main" id="{6A29D4F3-7333-9056-CDE3-8E5F6A133905}"/>
            </a:ext>
          </a:extLst>
        </xdr:cNvPr>
        <xdr:cNvSpPr/>
      </xdr:nvSpPr>
      <xdr:spPr>
        <a:xfrm>
          <a:off x="17904823" y="913257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63</xdr:row>
      <xdr:rowOff>179070</xdr:rowOff>
    </xdr:from>
    <xdr:to>
      <xdr:col>31</xdr:col>
      <xdr:colOff>521698</xdr:colOff>
      <xdr:row>63</xdr:row>
      <xdr:rowOff>179070</xdr:rowOff>
    </xdr:to>
    <xdr:cxnSp macro="">
      <xdr:nvCxnSpPr>
        <xdr:cNvPr id="47224" name="직선 화살표 연결선 47223">
          <a:extLst>
            <a:ext uri="{FF2B5EF4-FFF2-40B4-BE49-F238E27FC236}">
              <a16:creationId xmlns:a16="http://schemas.microsoft.com/office/drawing/2014/main" id="{9679E053-0833-9DCA-4CD2-27F1E6F49A7B}"/>
            </a:ext>
          </a:extLst>
        </xdr:cNvPr>
        <xdr:cNvCxnSpPr/>
      </xdr:nvCxnSpPr>
      <xdr:spPr>
        <a:xfrm>
          <a:off x="17904823" y="91897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16</xdr:row>
      <xdr:rowOff>20955</xdr:rowOff>
    </xdr:from>
    <xdr:to>
      <xdr:col>32</xdr:col>
      <xdr:colOff>0</xdr:colOff>
      <xdr:row>16</xdr:row>
      <xdr:rowOff>135255</xdr:rowOff>
    </xdr:to>
    <xdr:sp macro="" textlink="">
      <xdr:nvSpPr>
        <xdr:cNvPr id="47305" name="13">
          <a:extLst>
            <a:ext uri="{FF2B5EF4-FFF2-40B4-BE49-F238E27FC236}">
              <a16:creationId xmlns:a16="http://schemas.microsoft.com/office/drawing/2014/main" id="{C20FA3FD-937D-2A38-B48B-70E26FF90157}"/>
            </a:ext>
          </a:extLst>
        </xdr:cNvPr>
        <xdr:cNvSpPr/>
      </xdr:nvSpPr>
      <xdr:spPr>
        <a:xfrm>
          <a:off x="17904823" y="26022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16</xdr:row>
      <xdr:rowOff>78105</xdr:rowOff>
    </xdr:from>
    <xdr:to>
      <xdr:col>31</xdr:col>
      <xdr:colOff>521698</xdr:colOff>
      <xdr:row>16</xdr:row>
      <xdr:rowOff>78105</xdr:rowOff>
    </xdr:to>
    <xdr:cxnSp macro="">
      <xdr:nvCxnSpPr>
        <xdr:cNvPr id="47306" name="직선 화살표 연결선 47305">
          <a:extLst>
            <a:ext uri="{FF2B5EF4-FFF2-40B4-BE49-F238E27FC236}">
              <a16:creationId xmlns:a16="http://schemas.microsoft.com/office/drawing/2014/main" id="{4D76B464-B3E4-B27C-43DA-F23A6D790B64}"/>
            </a:ext>
          </a:extLst>
        </xdr:cNvPr>
        <xdr:cNvCxnSpPr/>
      </xdr:nvCxnSpPr>
      <xdr:spPr>
        <a:xfrm>
          <a:off x="17904823" y="265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15</xdr:row>
      <xdr:rowOff>20955</xdr:rowOff>
    </xdr:from>
    <xdr:to>
      <xdr:col>32</xdr:col>
      <xdr:colOff>0</xdr:colOff>
      <xdr:row>15</xdr:row>
      <xdr:rowOff>135255</xdr:rowOff>
    </xdr:to>
    <xdr:sp macro="" textlink="">
      <xdr:nvSpPr>
        <xdr:cNvPr id="47307" name="12">
          <a:extLst>
            <a:ext uri="{FF2B5EF4-FFF2-40B4-BE49-F238E27FC236}">
              <a16:creationId xmlns:a16="http://schemas.microsoft.com/office/drawing/2014/main" id="{FB3CE2F5-965E-29DD-9527-34D21CFA20C0}"/>
            </a:ext>
          </a:extLst>
        </xdr:cNvPr>
        <xdr:cNvSpPr/>
      </xdr:nvSpPr>
      <xdr:spPr>
        <a:xfrm>
          <a:off x="17904823" y="2449830"/>
          <a:ext cx="39424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15</xdr:row>
      <xdr:rowOff>78105</xdr:rowOff>
    </xdr:from>
    <xdr:to>
      <xdr:col>31</xdr:col>
      <xdr:colOff>521698</xdr:colOff>
      <xdr:row>15</xdr:row>
      <xdr:rowOff>78105</xdr:rowOff>
    </xdr:to>
    <xdr:cxnSp macro="">
      <xdr:nvCxnSpPr>
        <xdr:cNvPr id="47308" name="직선 화살표 연결선 47307">
          <a:extLst>
            <a:ext uri="{FF2B5EF4-FFF2-40B4-BE49-F238E27FC236}">
              <a16:creationId xmlns:a16="http://schemas.microsoft.com/office/drawing/2014/main" id="{CEA33DCF-070E-8B90-81C1-C55BCC674F12}"/>
            </a:ext>
          </a:extLst>
        </xdr:cNvPr>
        <xdr:cNvCxnSpPr/>
      </xdr:nvCxnSpPr>
      <xdr:spPr>
        <a:xfrm>
          <a:off x="17904823" y="250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14</xdr:row>
      <xdr:rowOff>20955</xdr:rowOff>
    </xdr:from>
    <xdr:to>
      <xdr:col>32</xdr:col>
      <xdr:colOff>0</xdr:colOff>
      <xdr:row>14</xdr:row>
      <xdr:rowOff>135255</xdr:rowOff>
    </xdr:to>
    <xdr:sp macro="" textlink="">
      <xdr:nvSpPr>
        <xdr:cNvPr id="47309" name="11">
          <a:extLst>
            <a:ext uri="{FF2B5EF4-FFF2-40B4-BE49-F238E27FC236}">
              <a16:creationId xmlns:a16="http://schemas.microsoft.com/office/drawing/2014/main" id="{982C63BC-DD34-B513-7AA5-8656B14DF3B0}"/>
            </a:ext>
          </a:extLst>
        </xdr:cNvPr>
        <xdr:cNvSpPr/>
      </xdr:nvSpPr>
      <xdr:spPr>
        <a:xfrm>
          <a:off x="17904823" y="2297430"/>
          <a:ext cx="9733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14</xdr:row>
      <xdr:rowOff>78105</xdr:rowOff>
    </xdr:from>
    <xdr:to>
      <xdr:col>31</xdr:col>
      <xdr:colOff>521698</xdr:colOff>
      <xdr:row>14</xdr:row>
      <xdr:rowOff>78105</xdr:rowOff>
    </xdr:to>
    <xdr:cxnSp macro="">
      <xdr:nvCxnSpPr>
        <xdr:cNvPr id="47310" name="직선 화살표 연결선 47309">
          <a:extLst>
            <a:ext uri="{FF2B5EF4-FFF2-40B4-BE49-F238E27FC236}">
              <a16:creationId xmlns:a16="http://schemas.microsoft.com/office/drawing/2014/main" id="{CE6C8D66-AD25-DE90-CCCB-B7C7FE5E7E56}"/>
            </a:ext>
          </a:extLst>
        </xdr:cNvPr>
        <xdr:cNvCxnSpPr/>
      </xdr:nvCxnSpPr>
      <xdr:spPr>
        <a:xfrm>
          <a:off x="17904823" y="235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10</xdr:row>
      <xdr:rowOff>20955</xdr:rowOff>
    </xdr:from>
    <xdr:to>
      <xdr:col>32</xdr:col>
      <xdr:colOff>0</xdr:colOff>
      <xdr:row>10</xdr:row>
      <xdr:rowOff>135255</xdr:rowOff>
    </xdr:to>
    <xdr:sp macro="" textlink="">
      <xdr:nvSpPr>
        <xdr:cNvPr id="47317" name="7">
          <a:extLst>
            <a:ext uri="{FF2B5EF4-FFF2-40B4-BE49-F238E27FC236}">
              <a16:creationId xmlns:a16="http://schemas.microsoft.com/office/drawing/2014/main" id="{390BF61F-8CC6-580D-3DFB-AB94E4709714}"/>
            </a:ext>
          </a:extLst>
        </xdr:cNvPr>
        <xdr:cNvSpPr/>
      </xdr:nvSpPr>
      <xdr:spPr>
        <a:xfrm>
          <a:off x="17904823" y="1687830"/>
          <a:ext cx="31450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10</xdr:row>
      <xdr:rowOff>78105</xdr:rowOff>
    </xdr:from>
    <xdr:to>
      <xdr:col>31</xdr:col>
      <xdr:colOff>521698</xdr:colOff>
      <xdr:row>10</xdr:row>
      <xdr:rowOff>78105</xdr:rowOff>
    </xdr:to>
    <xdr:cxnSp macro="">
      <xdr:nvCxnSpPr>
        <xdr:cNvPr id="47318" name="직선 화살표 연결선 47317">
          <a:extLst>
            <a:ext uri="{FF2B5EF4-FFF2-40B4-BE49-F238E27FC236}">
              <a16:creationId xmlns:a16="http://schemas.microsoft.com/office/drawing/2014/main" id="{4101EFAD-F622-FAD8-3651-BD006ACBF6EE}"/>
            </a:ext>
          </a:extLst>
        </xdr:cNvPr>
        <xdr:cNvCxnSpPr/>
      </xdr:nvCxnSpPr>
      <xdr:spPr>
        <a:xfrm>
          <a:off x="17904823" y="174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9</xdr:row>
      <xdr:rowOff>20955</xdr:rowOff>
    </xdr:from>
    <xdr:to>
      <xdr:col>32</xdr:col>
      <xdr:colOff>0</xdr:colOff>
      <xdr:row>9</xdr:row>
      <xdr:rowOff>135255</xdr:rowOff>
    </xdr:to>
    <xdr:sp macro="" textlink="">
      <xdr:nvSpPr>
        <xdr:cNvPr id="47319" name="6">
          <a:extLst>
            <a:ext uri="{FF2B5EF4-FFF2-40B4-BE49-F238E27FC236}">
              <a16:creationId xmlns:a16="http://schemas.microsoft.com/office/drawing/2014/main" id="{ECBBBE06-1BA2-5436-853D-5DFD5CFC295F}"/>
            </a:ext>
          </a:extLst>
        </xdr:cNvPr>
        <xdr:cNvSpPr/>
      </xdr:nvSpPr>
      <xdr:spPr>
        <a:xfrm>
          <a:off x="17904823" y="1535430"/>
          <a:ext cx="31450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9</xdr:row>
      <xdr:rowOff>78105</xdr:rowOff>
    </xdr:from>
    <xdr:to>
      <xdr:col>31</xdr:col>
      <xdr:colOff>521698</xdr:colOff>
      <xdr:row>9</xdr:row>
      <xdr:rowOff>78105</xdr:rowOff>
    </xdr:to>
    <xdr:cxnSp macro="">
      <xdr:nvCxnSpPr>
        <xdr:cNvPr id="47320" name="직선 화살표 연결선 47319">
          <a:extLst>
            <a:ext uri="{FF2B5EF4-FFF2-40B4-BE49-F238E27FC236}">
              <a16:creationId xmlns:a16="http://schemas.microsoft.com/office/drawing/2014/main" id="{9877DF29-89C3-5341-62BA-8822B753CC0B}"/>
            </a:ext>
          </a:extLst>
        </xdr:cNvPr>
        <xdr:cNvCxnSpPr/>
      </xdr:nvCxnSpPr>
      <xdr:spPr>
        <a:xfrm>
          <a:off x="17904823" y="159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8</xdr:row>
      <xdr:rowOff>20955</xdr:rowOff>
    </xdr:from>
    <xdr:to>
      <xdr:col>32</xdr:col>
      <xdr:colOff>0</xdr:colOff>
      <xdr:row>8</xdr:row>
      <xdr:rowOff>135255</xdr:rowOff>
    </xdr:to>
    <xdr:sp macro="" textlink="">
      <xdr:nvSpPr>
        <xdr:cNvPr id="47321" name="5">
          <a:extLst>
            <a:ext uri="{FF2B5EF4-FFF2-40B4-BE49-F238E27FC236}">
              <a16:creationId xmlns:a16="http://schemas.microsoft.com/office/drawing/2014/main" id="{F045F075-2C7D-2718-1DE3-D1E6B73B9E97}"/>
            </a:ext>
          </a:extLst>
        </xdr:cNvPr>
        <xdr:cNvSpPr/>
      </xdr:nvSpPr>
      <xdr:spPr>
        <a:xfrm>
          <a:off x="17904823" y="138303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8</xdr:row>
      <xdr:rowOff>78105</xdr:rowOff>
    </xdr:from>
    <xdr:to>
      <xdr:col>31</xdr:col>
      <xdr:colOff>521698</xdr:colOff>
      <xdr:row>8</xdr:row>
      <xdr:rowOff>78105</xdr:rowOff>
    </xdr:to>
    <xdr:cxnSp macro="">
      <xdr:nvCxnSpPr>
        <xdr:cNvPr id="47322" name="직선 화살표 연결선 47321">
          <a:extLst>
            <a:ext uri="{FF2B5EF4-FFF2-40B4-BE49-F238E27FC236}">
              <a16:creationId xmlns:a16="http://schemas.microsoft.com/office/drawing/2014/main" id="{AE18CC0D-73C0-9939-21E4-ED97F7543FF8}"/>
            </a:ext>
          </a:extLst>
        </xdr:cNvPr>
        <xdr:cNvCxnSpPr/>
      </xdr:nvCxnSpPr>
      <xdr:spPr>
        <a:xfrm>
          <a:off x="17904823" y="144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6</xdr:row>
      <xdr:rowOff>20955</xdr:rowOff>
    </xdr:from>
    <xdr:to>
      <xdr:col>32</xdr:col>
      <xdr:colOff>0</xdr:colOff>
      <xdr:row>6</xdr:row>
      <xdr:rowOff>135255</xdr:rowOff>
    </xdr:to>
    <xdr:sp macro="" textlink="">
      <xdr:nvSpPr>
        <xdr:cNvPr id="47325" name="3">
          <a:extLst>
            <a:ext uri="{FF2B5EF4-FFF2-40B4-BE49-F238E27FC236}">
              <a16:creationId xmlns:a16="http://schemas.microsoft.com/office/drawing/2014/main" id="{539F418C-9498-D1A1-34DE-DA77EC99DF82}"/>
            </a:ext>
          </a:extLst>
        </xdr:cNvPr>
        <xdr:cNvSpPr/>
      </xdr:nvSpPr>
      <xdr:spPr>
        <a:xfrm>
          <a:off x="17904823" y="1078230"/>
          <a:ext cx="2080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6</xdr:row>
      <xdr:rowOff>78105</xdr:rowOff>
    </xdr:from>
    <xdr:to>
      <xdr:col>31</xdr:col>
      <xdr:colOff>521698</xdr:colOff>
      <xdr:row>6</xdr:row>
      <xdr:rowOff>78105</xdr:rowOff>
    </xdr:to>
    <xdr:cxnSp macro="">
      <xdr:nvCxnSpPr>
        <xdr:cNvPr id="47326" name="직선 화살표 연결선 47325">
          <a:extLst>
            <a:ext uri="{FF2B5EF4-FFF2-40B4-BE49-F238E27FC236}">
              <a16:creationId xmlns:a16="http://schemas.microsoft.com/office/drawing/2014/main" id="{4367216E-D09C-9D41-DB69-5DB0AEBDB6C8}"/>
            </a:ext>
          </a:extLst>
        </xdr:cNvPr>
        <xdr:cNvCxnSpPr/>
      </xdr:nvCxnSpPr>
      <xdr:spPr>
        <a:xfrm>
          <a:off x="17904823" y="113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5</xdr:row>
      <xdr:rowOff>20955</xdr:rowOff>
    </xdr:from>
    <xdr:to>
      <xdr:col>32</xdr:col>
      <xdr:colOff>0</xdr:colOff>
      <xdr:row>5</xdr:row>
      <xdr:rowOff>135255</xdr:rowOff>
    </xdr:to>
    <xdr:sp macro="" textlink="">
      <xdr:nvSpPr>
        <xdr:cNvPr id="47327" name="2">
          <a:extLst>
            <a:ext uri="{FF2B5EF4-FFF2-40B4-BE49-F238E27FC236}">
              <a16:creationId xmlns:a16="http://schemas.microsoft.com/office/drawing/2014/main" id="{58A706D0-4A5A-5FC9-86CE-222E62AFA508}"/>
            </a:ext>
          </a:extLst>
        </xdr:cNvPr>
        <xdr:cNvSpPr/>
      </xdr:nvSpPr>
      <xdr:spPr>
        <a:xfrm>
          <a:off x="17904823" y="925830"/>
          <a:ext cx="22878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5</xdr:row>
      <xdr:rowOff>78105</xdr:rowOff>
    </xdr:from>
    <xdr:to>
      <xdr:col>31</xdr:col>
      <xdr:colOff>521698</xdr:colOff>
      <xdr:row>5</xdr:row>
      <xdr:rowOff>78105</xdr:rowOff>
    </xdr:to>
    <xdr:cxnSp macro="">
      <xdr:nvCxnSpPr>
        <xdr:cNvPr id="47328" name="직선 화살표 연결선 47327">
          <a:extLst>
            <a:ext uri="{FF2B5EF4-FFF2-40B4-BE49-F238E27FC236}">
              <a16:creationId xmlns:a16="http://schemas.microsoft.com/office/drawing/2014/main" id="{819C378E-B607-2292-616A-04F218B0369D}"/>
            </a:ext>
          </a:extLst>
        </xdr:cNvPr>
        <xdr:cNvCxnSpPr/>
      </xdr:nvCxnSpPr>
      <xdr:spPr>
        <a:xfrm>
          <a:off x="17904823" y="98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4</xdr:row>
      <xdr:rowOff>20955</xdr:rowOff>
    </xdr:from>
    <xdr:to>
      <xdr:col>32</xdr:col>
      <xdr:colOff>0</xdr:colOff>
      <xdr:row>4</xdr:row>
      <xdr:rowOff>135255</xdr:rowOff>
    </xdr:to>
    <xdr:sp macro="" textlink="">
      <xdr:nvSpPr>
        <xdr:cNvPr id="47329" name="1">
          <a:extLst>
            <a:ext uri="{FF2B5EF4-FFF2-40B4-BE49-F238E27FC236}">
              <a16:creationId xmlns:a16="http://schemas.microsoft.com/office/drawing/2014/main" id="{5896F645-4FF0-CA11-8A72-615744763422}"/>
            </a:ext>
          </a:extLst>
        </xdr:cNvPr>
        <xdr:cNvSpPr/>
      </xdr:nvSpPr>
      <xdr:spPr>
        <a:xfrm>
          <a:off x="17904823" y="77343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4</xdr:row>
      <xdr:rowOff>78105</xdr:rowOff>
    </xdr:from>
    <xdr:to>
      <xdr:col>31</xdr:col>
      <xdr:colOff>521698</xdr:colOff>
      <xdr:row>4</xdr:row>
      <xdr:rowOff>78105</xdr:rowOff>
    </xdr:to>
    <xdr:cxnSp macro="">
      <xdr:nvCxnSpPr>
        <xdr:cNvPr id="47330" name="직선 화살표 연결선 47329">
          <a:extLst>
            <a:ext uri="{FF2B5EF4-FFF2-40B4-BE49-F238E27FC236}">
              <a16:creationId xmlns:a16="http://schemas.microsoft.com/office/drawing/2014/main" id="{1F36665F-2137-2EA8-AAE3-037CCE275C81}"/>
            </a:ext>
          </a:extLst>
        </xdr:cNvPr>
        <xdr:cNvCxnSpPr/>
      </xdr:nvCxnSpPr>
      <xdr:spPr>
        <a:xfrm>
          <a:off x="17904823" y="83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77</xdr:row>
      <xdr:rowOff>9525</xdr:rowOff>
    </xdr:from>
    <xdr:to>
      <xdr:col>32</xdr:col>
      <xdr:colOff>0</xdr:colOff>
      <xdr:row>77</xdr:row>
      <xdr:rowOff>123825</xdr:rowOff>
    </xdr:to>
    <xdr:sp macro="" textlink="">
      <xdr:nvSpPr>
        <xdr:cNvPr id="47341" name="68">
          <a:extLst>
            <a:ext uri="{FF2B5EF4-FFF2-40B4-BE49-F238E27FC236}">
              <a16:creationId xmlns:a16="http://schemas.microsoft.com/office/drawing/2014/main" id="{3847F569-6DEA-302D-0E07-ED8A6CA47196}"/>
            </a:ext>
          </a:extLst>
        </xdr:cNvPr>
        <xdr:cNvSpPr/>
      </xdr:nvSpPr>
      <xdr:spPr>
        <a:xfrm>
          <a:off x="17904823" y="11639550"/>
          <a:ext cx="68380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77</xdr:row>
      <xdr:rowOff>66675</xdr:rowOff>
    </xdr:from>
    <xdr:to>
      <xdr:col>31</xdr:col>
      <xdr:colOff>521698</xdr:colOff>
      <xdr:row>77</xdr:row>
      <xdr:rowOff>66675</xdr:rowOff>
    </xdr:to>
    <xdr:cxnSp macro="">
      <xdr:nvCxnSpPr>
        <xdr:cNvPr id="47342" name="직선 화살표 연결선 47341">
          <a:extLst>
            <a:ext uri="{FF2B5EF4-FFF2-40B4-BE49-F238E27FC236}">
              <a16:creationId xmlns:a16="http://schemas.microsoft.com/office/drawing/2014/main" id="{2F1C5EFA-9D7E-AD82-7610-1D2B5BC1D651}"/>
            </a:ext>
          </a:extLst>
        </xdr:cNvPr>
        <xdr:cNvCxnSpPr/>
      </xdr:nvCxnSpPr>
      <xdr:spPr>
        <a:xfrm>
          <a:off x="17904823" y="116967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76</xdr:row>
      <xdr:rowOff>9525</xdr:rowOff>
    </xdr:from>
    <xdr:to>
      <xdr:col>32</xdr:col>
      <xdr:colOff>0</xdr:colOff>
      <xdr:row>76</xdr:row>
      <xdr:rowOff>123825</xdr:rowOff>
    </xdr:to>
    <xdr:sp macro="" textlink="">
      <xdr:nvSpPr>
        <xdr:cNvPr id="47343" name="67">
          <a:extLst>
            <a:ext uri="{FF2B5EF4-FFF2-40B4-BE49-F238E27FC236}">
              <a16:creationId xmlns:a16="http://schemas.microsoft.com/office/drawing/2014/main" id="{E2915905-A8A5-288F-A8C4-60811D13B96F}"/>
            </a:ext>
          </a:extLst>
        </xdr:cNvPr>
        <xdr:cNvSpPr/>
      </xdr:nvSpPr>
      <xdr:spPr>
        <a:xfrm>
          <a:off x="17904823" y="1148715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76</xdr:row>
      <xdr:rowOff>66675</xdr:rowOff>
    </xdr:from>
    <xdr:to>
      <xdr:col>31</xdr:col>
      <xdr:colOff>521698</xdr:colOff>
      <xdr:row>76</xdr:row>
      <xdr:rowOff>66675</xdr:rowOff>
    </xdr:to>
    <xdr:cxnSp macro="">
      <xdr:nvCxnSpPr>
        <xdr:cNvPr id="47344" name="직선 화살표 연결선 47343">
          <a:extLst>
            <a:ext uri="{FF2B5EF4-FFF2-40B4-BE49-F238E27FC236}">
              <a16:creationId xmlns:a16="http://schemas.microsoft.com/office/drawing/2014/main" id="{C8A65CD8-852E-978E-0B5D-BFB8E1232554}"/>
            </a:ext>
          </a:extLst>
        </xdr:cNvPr>
        <xdr:cNvCxnSpPr/>
      </xdr:nvCxnSpPr>
      <xdr:spPr>
        <a:xfrm>
          <a:off x="17904823" y="115443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63</xdr:row>
      <xdr:rowOff>121920</xdr:rowOff>
    </xdr:from>
    <xdr:to>
      <xdr:col>32</xdr:col>
      <xdr:colOff>0</xdr:colOff>
      <xdr:row>63</xdr:row>
      <xdr:rowOff>236220</xdr:rowOff>
    </xdr:to>
    <xdr:sp macro="" textlink="">
      <xdr:nvSpPr>
        <xdr:cNvPr id="47369" name="54">
          <a:extLst>
            <a:ext uri="{FF2B5EF4-FFF2-40B4-BE49-F238E27FC236}">
              <a16:creationId xmlns:a16="http://schemas.microsoft.com/office/drawing/2014/main" id="{72121C17-175D-6CF3-7DD6-2689A180A889}"/>
            </a:ext>
          </a:extLst>
        </xdr:cNvPr>
        <xdr:cNvSpPr/>
      </xdr:nvSpPr>
      <xdr:spPr>
        <a:xfrm>
          <a:off x="17904823" y="913257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63</xdr:row>
      <xdr:rowOff>179070</xdr:rowOff>
    </xdr:from>
    <xdr:to>
      <xdr:col>31</xdr:col>
      <xdr:colOff>521698</xdr:colOff>
      <xdr:row>63</xdr:row>
      <xdr:rowOff>179070</xdr:rowOff>
    </xdr:to>
    <xdr:cxnSp macro="">
      <xdr:nvCxnSpPr>
        <xdr:cNvPr id="47370" name="직선 화살표 연결선 47369">
          <a:extLst>
            <a:ext uri="{FF2B5EF4-FFF2-40B4-BE49-F238E27FC236}">
              <a16:creationId xmlns:a16="http://schemas.microsoft.com/office/drawing/2014/main" id="{F78A0CCC-BFE2-229D-3738-2AFBD46967DB}"/>
            </a:ext>
          </a:extLst>
        </xdr:cNvPr>
        <xdr:cNvCxnSpPr/>
      </xdr:nvCxnSpPr>
      <xdr:spPr>
        <a:xfrm>
          <a:off x="17904823" y="91897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16</xdr:row>
      <xdr:rowOff>20955</xdr:rowOff>
    </xdr:from>
    <xdr:to>
      <xdr:col>32</xdr:col>
      <xdr:colOff>0</xdr:colOff>
      <xdr:row>16</xdr:row>
      <xdr:rowOff>135255</xdr:rowOff>
    </xdr:to>
    <xdr:sp macro="" textlink="">
      <xdr:nvSpPr>
        <xdr:cNvPr id="47451" name="13">
          <a:extLst>
            <a:ext uri="{FF2B5EF4-FFF2-40B4-BE49-F238E27FC236}">
              <a16:creationId xmlns:a16="http://schemas.microsoft.com/office/drawing/2014/main" id="{9A9F9662-3272-6981-A097-A47F326F695B}"/>
            </a:ext>
          </a:extLst>
        </xdr:cNvPr>
        <xdr:cNvSpPr/>
      </xdr:nvSpPr>
      <xdr:spPr>
        <a:xfrm>
          <a:off x="17904823" y="26022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16</xdr:row>
      <xdr:rowOff>78105</xdr:rowOff>
    </xdr:from>
    <xdr:to>
      <xdr:col>31</xdr:col>
      <xdr:colOff>521698</xdr:colOff>
      <xdr:row>16</xdr:row>
      <xdr:rowOff>78105</xdr:rowOff>
    </xdr:to>
    <xdr:cxnSp macro="">
      <xdr:nvCxnSpPr>
        <xdr:cNvPr id="47452" name="직선 화살표 연결선 47451">
          <a:extLst>
            <a:ext uri="{FF2B5EF4-FFF2-40B4-BE49-F238E27FC236}">
              <a16:creationId xmlns:a16="http://schemas.microsoft.com/office/drawing/2014/main" id="{E0AD8802-90CC-36A0-2B48-D02177F7AE38}"/>
            </a:ext>
          </a:extLst>
        </xdr:cNvPr>
        <xdr:cNvCxnSpPr/>
      </xdr:nvCxnSpPr>
      <xdr:spPr>
        <a:xfrm>
          <a:off x="17904823" y="265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15</xdr:row>
      <xdr:rowOff>20955</xdr:rowOff>
    </xdr:from>
    <xdr:to>
      <xdr:col>32</xdr:col>
      <xdr:colOff>0</xdr:colOff>
      <xdr:row>15</xdr:row>
      <xdr:rowOff>135255</xdr:rowOff>
    </xdr:to>
    <xdr:sp macro="" textlink="">
      <xdr:nvSpPr>
        <xdr:cNvPr id="47453" name="12">
          <a:extLst>
            <a:ext uri="{FF2B5EF4-FFF2-40B4-BE49-F238E27FC236}">
              <a16:creationId xmlns:a16="http://schemas.microsoft.com/office/drawing/2014/main" id="{4342C1CE-0671-CA19-1BC1-06FF8A2FAFC9}"/>
            </a:ext>
          </a:extLst>
        </xdr:cNvPr>
        <xdr:cNvSpPr/>
      </xdr:nvSpPr>
      <xdr:spPr>
        <a:xfrm>
          <a:off x="17904823" y="2449830"/>
          <a:ext cx="39424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15</xdr:row>
      <xdr:rowOff>78105</xdr:rowOff>
    </xdr:from>
    <xdr:to>
      <xdr:col>31</xdr:col>
      <xdr:colOff>521698</xdr:colOff>
      <xdr:row>15</xdr:row>
      <xdr:rowOff>78105</xdr:rowOff>
    </xdr:to>
    <xdr:cxnSp macro="">
      <xdr:nvCxnSpPr>
        <xdr:cNvPr id="47454" name="직선 화살표 연결선 47453">
          <a:extLst>
            <a:ext uri="{FF2B5EF4-FFF2-40B4-BE49-F238E27FC236}">
              <a16:creationId xmlns:a16="http://schemas.microsoft.com/office/drawing/2014/main" id="{8854B30B-7AB6-B986-2383-FE5BD5FD4251}"/>
            </a:ext>
          </a:extLst>
        </xdr:cNvPr>
        <xdr:cNvCxnSpPr/>
      </xdr:nvCxnSpPr>
      <xdr:spPr>
        <a:xfrm>
          <a:off x="17904823" y="250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14</xdr:row>
      <xdr:rowOff>20955</xdr:rowOff>
    </xdr:from>
    <xdr:to>
      <xdr:col>32</xdr:col>
      <xdr:colOff>0</xdr:colOff>
      <xdr:row>14</xdr:row>
      <xdr:rowOff>135255</xdr:rowOff>
    </xdr:to>
    <xdr:sp macro="" textlink="">
      <xdr:nvSpPr>
        <xdr:cNvPr id="47455" name="11">
          <a:extLst>
            <a:ext uri="{FF2B5EF4-FFF2-40B4-BE49-F238E27FC236}">
              <a16:creationId xmlns:a16="http://schemas.microsoft.com/office/drawing/2014/main" id="{80D99DCB-213A-37D9-CA2A-1DF73016DADC}"/>
            </a:ext>
          </a:extLst>
        </xdr:cNvPr>
        <xdr:cNvSpPr/>
      </xdr:nvSpPr>
      <xdr:spPr>
        <a:xfrm>
          <a:off x="17904823" y="2297430"/>
          <a:ext cx="9733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14</xdr:row>
      <xdr:rowOff>78105</xdr:rowOff>
    </xdr:from>
    <xdr:to>
      <xdr:col>31</xdr:col>
      <xdr:colOff>521698</xdr:colOff>
      <xdr:row>14</xdr:row>
      <xdr:rowOff>78105</xdr:rowOff>
    </xdr:to>
    <xdr:cxnSp macro="">
      <xdr:nvCxnSpPr>
        <xdr:cNvPr id="47456" name="직선 화살표 연결선 47455">
          <a:extLst>
            <a:ext uri="{FF2B5EF4-FFF2-40B4-BE49-F238E27FC236}">
              <a16:creationId xmlns:a16="http://schemas.microsoft.com/office/drawing/2014/main" id="{AD44D9E8-7DD0-2465-1423-E55EF76C37C9}"/>
            </a:ext>
          </a:extLst>
        </xdr:cNvPr>
        <xdr:cNvCxnSpPr/>
      </xdr:nvCxnSpPr>
      <xdr:spPr>
        <a:xfrm>
          <a:off x="17904823" y="235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10</xdr:row>
      <xdr:rowOff>20955</xdr:rowOff>
    </xdr:from>
    <xdr:to>
      <xdr:col>32</xdr:col>
      <xdr:colOff>0</xdr:colOff>
      <xdr:row>10</xdr:row>
      <xdr:rowOff>135255</xdr:rowOff>
    </xdr:to>
    <xdr:sp macro="" textlink="">
      <xdr:nvSpPr>
        <xdr:cNvPr id="47463" name="7">
          <a:extLst>
            <a:ext uri="{FF2B5EF4-FFF2-40B4-BE49-F238E27FC236}">
              <a16:creationId xmlns:a16="http://schemas.microsoft.com/office/drawing/2014/main" id="{55B8E0C2-D736-2FFF-5C2E-0B9715958346}"/>
            </a:ext>
          </a:extLst>
        </xdr:cNvPr>
        <xdr:cNvSpPr/>
      </xdr:nvSpPr>
      <xdr:spPr>
        <a:xfrm>
          <a:off x="17904823" y="1687830"/>
          <a:ext cx="31450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10</xdr:row>
      <xdr:rowOff>78105</xdr:rowOff>
    </xdr:from>
    <xdr:to>
      <xdr:col>31</xdr:col>
      <xdr:colOff>521698</xdr:colOff>
      <xdr:row>10</xdr:row>
      <xdr:rowOff>78105</xdr:rowOff>
    </xdr:to>
    <xdr:cxnSp macro="">
      <xdr:nvCxnSpPr>
        <xdr:cNvPr id="47464" name="직선 화살표 연결선 47463">
          <a:extLst>
            <a:ext uri="{FF2B5EF4-FFF2-40B4-BE49-F238E27FC236}">
              <a16:creationId xmlns:a16="http://schemas.microsoft.com/office/drawing/2014/main" id="{D8C160F0-8BFE-4EA6-50C9-65C819253597}"/>
            </a:ext>
          </a:extLst>
        </xdr:cNvPr>
        <xdr:cNvCxnSpPr/>
      </xdr:nvCxnSpPr>
      <xdr:spPr>
        <a:xfrm>
          <a:off x="17904823" y="174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9</xdr:row>
      <xdr:rowOff>20955</xdr:rowOff>
    </xdr:from>
    <xdr:to>
      <xdr:col>32</xdr:col>
      <xdr:colOff>0</xdr:colOff>
      <xdr:row>9</xdr:row>
      <xdr:rowOff>135255</xdr:rowOff>
    </xdr:to>
    <xdr:sp macro="" textlink="">
      <xdr:nvSpPr>
        <xdr:cNvPr id="47465" name="6">
          <a:extLst>
            <a:ext uri="{FF2B5EF4-FFF2-40B4-BE49-F238E27FC236}">
              <a16:creationId xmlns:a16="http://schemas.microsoft.com/office/drawing/2014/main" id="{569B9B1B-320B-44B6-75C3-6D0063C3BD16}"/>
            </a:ext>
          </a:extLst>
        </xdr:cNvPr>
        <xdr:cNvSpPr/>
      </xdr:nvSpPr>
      <xdr:spPr>
        <a:xfrm>
          <a:off x="17904823" y="1535430"/>
          <a:ext cx="31450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9</xdr:row>
      <xdr:rowOff>78105</xdr:rowOff>
    </xdr:from>
    <xdr:to>
      <xdr:col>31</xdr:col>
      <xdr:colOff>521698</xdr:colOff>
      <xdr:row>9</xdr:row>
      <xdr:rowOff>78105</xdr:rowOff>
    </xdr:to>
    <xdr:cxnSp macro="">
      <xdr:nvCxnSpPr>
        <xdr:cNvPr id="47466" name="직선 화살표 연결선 47465">
          <a:extLst>
            <a:ext uri="{FF2B5EF4-FFF2-40B4-BE49-F238E27FC236}">
              <a16:creationId xmlns:a16="http://schemas.microsoft.com/office/drawing/2014/main" id="{86A1CBD9-9B02-9E85-18B7-85D807DBEC52}"/>
            </a:ext>
          </a:extLst>
        </xdr:cNvPr>
        <xdr:cNvCxnSpPr/>
      </xdr:nvCxnSpPr>
      <xdr:spPr>
        <a:xfrm>
          <a:off x="17904823" y="159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8</xdr:row>
      <xdr:rowOff>20955</xdr:rowOff>
    </xdr:from>
    <xdr:to>
      <xdr:col>32</xdr:col>
      <xdr:colOff>0</xdr:colOff>
      <xdr:row>8</xdr:row>
      <xdr:rowOff>135255</xdr:rowOff>
    </xdr:to>
    <xdr:sp macro="" textlink="">
      <xdr:nvSpPr>
        <xdr:cNvPr id="47467" name="5">
          <a:extLst>
            <a:ext uri="{FF2B5EF4-FFF2-40B4-BE49-F238E27FC236}">
              <a16:creationId xmlns:a16="http://schemas.microsoft.com/office/drawing/2014/main" id="{DB003472-14C4-6BE1-BA7B-8D0C5CDE9407}"/>
            </a:ext>
          </a:extLst>
        </xdr:cNvPr>
        <xdr:cNvSpPr/>
      </xdr:nvSpPr>
      <xdr:spPr>
        <a:xfrm>
          <a:off x="17904823" y="138303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8</xdr:row>
      <xdr:rowOff>78105</xdr:rowOff>
    </xdr:from>
    <xdr:to>
      <xdr:col>31</xdr:col>
      <xdr:colOff>521698</xdr:colOff>
      <xdr:row>8</xdr:row>
      <xdr:rowOff>78105</xdr:rowOff>
    </xdr:to>
    <xdr:cxnSp macro="">
      <xdr:nvCxnSpPr>
        <xdr:cNvPr id="47468" name="직선 화살표 연결선 47467">
          <a:extLst>
            <a:ext uri="{FF2B5EF4-FFF2-40B4-BE49-F238E27FC236}">
              <a16:creationId xmlns:a16="http://schemas.microsoft.com/office/drawing/2014/main" id="{85992936-9189-07D9-BA97-9CF3A6AB6262}"/>
            </a:ext>
          </a:extLst>
        </xdr:cNvPr>
        <xdr:cNvCxnSpPr/>
      </xdr:nvCxnSpPr>
      <xdr:spPr>
        <a:xfrm>
          <a:off x="17904823" y="144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6</xdr:row>
      <xdr:rowOff>20955</xdr:rowOff>
    </xdr:from>
    <xdr:to>
      <xdr:col>32</xdr:col>
      <xdr:colOff>0</xdr:colOff>
      <xdr:row>6</xdr:row>
      <xdr:rowOff>135255</xdr:rowOff>
    </xdr:to>
    <xdr:sp macro="" textlink="">
      <xdr:nvSpPr>
        <xdr:cNvPr id="47471" name="3">
          <a:extLst>
            <a:ext uri="{FF2B5EF4-FFF2-40B4-BE49-F238E27FC236}">
              <a16:creationId xmlns:a16="http://schemas.microsoft.com/office/drawing/2014/main" id="{923A35F6-C937-021C-354F-991CD3EF880D}"/>
            </a:ext>
          </a:extLst>
        </xdr:cNvPr>
        <xdr:cNvSpPr/>
      </xdr:nvSpPr>
      <xdr:spPr>
        <a:xfrm>
          <a:off x="17904823" y="1078230"/>
          <a:ext cx="2080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6</xdr:row>
      <xdr:rowOff>78105</xdr:rowOff>
    </xdr:from>
    <xdr:to>
      <xdr:col>31</xdr:col>
      <xdr:colOff>521698</xdr:colOff>
      <xdr:row>6</xdr:row>
      <xdr:rowOff>78105</xdr:rowOff>
    </xdr:to>
    <xdr:cxnSp macro="">
      <xdr:nvCxnSpPr>
        <xdr:cNvPr id="47472" name="직선 화살표 연결선 47471">
          <a:extLst>
            <a:ext uri="{FF2B5EF4-FFF2-40B4-BE49-F238E27FC236}">
              <a16:creationId xmlns:a16="http://schemas.microsoft.com/office/drawing/2014/main" id="{E236E29A-405A-DE1B-5E06-88E9B23943F2}"/>
            </a:ext>
          </a:extLst>
        </xdr:cNvPr>
        <xdr:cNvCxnSpPr/>
      </xdr:nvCxnSpPr>
      <xdr:spPr>
        <a:xfrm>
          <a:off x="17904823" y="113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5</xdr:row>
      <xdr:rowOff>20955</xdr:rowOff>
    </xdr:from>
    <xdr:to>
      <xdr:col>32</xdr:col>
      <xdr:colOff>0</xdr:colOff>
      <xdr:row>5</xdr:row>
      <xdr:rowOff>135255</xdr:rowOff>
    </xdr:to>
    <xdr:sp macro="" textlink="">
      <xdr:nvSpPr>
        <xdr:cNvPr id="47473" name="2">
          <a:extLst>
            <a:ext uri="{FF2B5EF4-FFF2-40B4-BE49-F238E27FC236}">
              <a16:creationId xmlns:a16="http://schemas.microsoft.com/office/drawing/2014/main" id="{BCA87623-C1F5-9BB4-7D35-775E3DC30BCB}"/>
            </a:ext>
          </a:extLst>
        </xdr:cNvPr>
        <xdr:cNvSpPr/>
      </xdr:nvSpPr>
      <xdr:spPr>
        <a:xfrm>
          <a:off x="17904823" y="925830"/>
          <a:ext cx="22878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5</xdr:row>
      <xdr:rowOff>78105</xdr:rowOff>
    </xdr:from>
    <xdr:to>
      <xdr:col>31</xdr:col>
      <xdr:colOff>521698</xdr:colOff>
      <xdr:row>5</xdr:row>
      <xdr:rowOff>78105</xdr:rowOff>
    </xdr:to>
    <xdr:cxnSp macro="">
      <xdr:nvCxnSpPr>
        <xdr:cNvPr id="47474" name="직선 화살표 연결선 47473">
          <a:extLst>
            <a:ext uri="{FF2B5EF4-FFF2-40B4-BE49-F238E27FC236}">
              <a16:creationId xmlns:a16="http://schemas.microsoft.com/office/drawing/2014/main" id="{C6D2ED79-504D-214B-9A10-81DD5340F17D}"/>
            </a:ext>
          </a:extLst>
        </xdr:cNvPr>
        <xdr:cNvCxnSpPr/>
      </xdr:nvCxnSpPr>
      <xdr:spPr>
        <a:xfrm>
          <a:off x="17904823" y="98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4</xdr:row>
      <xdr:rowOff>20955</xdr:rowOff>
    </xdr:from>
    <xdr:to>
      <xdr:col>32</xdr:col>
      <xdr:colOff>0</xdr:colOff>
      <xdr:row>4</xdr:row>
      <xdr:rowOff>135255</xdr:rowOff>
    </xdr:to>
    <xdr:sp macro="" textlink="">
      <xdr:nvSpPr>
        <xdr:cNvPr id="47475" name="1">
          <a:extLst>
            <a:ext uri="{FF2B5EF4-FFF2-40B4-BE49-F238E27FC236}">
              <a16:creationId xmlns:a16="http://schemas.microsoft.com/office/drawing/2014/main" id="{BDF06321-60A3-9A62-9E8B-C0C43B4F7561}"/>
            </a:ext>
          </a:extLst>
        </xdr:cNvPr>
        <xdr:cNvSpPr/>
      </xdr:nvSpPr>
      <xdr:spPr>
        <a:xfrm>
          <a:off x="17904823" y="77343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4</xdr:row>
      <xdr:rowOff>78105</xdr:rowOff>
    </xdr:from>
    <xdr:to>
      <xdr:col>31</xdr:col>
      <xdr:colOff>521698</xdr:colOff>
      <xdr:row>4</xdr:row>
      <xdr:rowOff>78105</xdr:rowOff>
    </xdr:to>
    <xdr:cxnSp macro="">
      <xdr:nvCxnSpPr>
        <xdr:cNvPr id="47476" name="직선 화살표 연결선 47475">
          <a:extLst>
            <a:ext uri="{FF2B5EF4-FFF2-40B4-BE49-F238E27FC236}">
              <a16:creationId xmlns:a16="http://schemas.microsoft.com/office/drawing/2014/main" id="{6668D247-56DD-4629-5D3B-0ED461F97C82}"/>
            </a:ext>
          </a:extLst>
        </xdr:cNvPr>
        <xdr:cNvCxnSpPr/>
      </xdr:nvCxnSpPr>
      <xdr:spPr>
        <a:xfrm>
          <a:off x="17904823" y="83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77</xdr:row>
      <xdr:rowOff>9525</xdr:rowOff>
    </xdr:from>
    <xdr:to>
      <xdr:col>32</xdr:col>
      <xdr:colOff>0</xdr:colOff>
      <xdr:row>77</xdr:row>
      <xdr:rowOff>123825</xdr:rowOff>
    </xdr:to>
    <xdr:sp macro="" textlink="">
      <xdr:nvSpPr>
        <xdr:cNvPr id="47487" name="68">
          <a:extLst>
            <a:ext uri="{FF2B5EF4-FFF2-40B4-BE49-F238E27FC236}">
              <a16:creationId xmlns:a16="http://schemas.microsoft.com/office/drawing/2014/main" id="{F1EF0C32-9A1E-5A2A-D7DF-328C5755F327}"/>
            </a:ext>
          </a:extLst>
        </xdr:cNvPr>
        <xdr:cNvSpPr/>
      </xdr:nvSpPr>
      <xdr:spPr>
        <a:xfrm>
          <a:off x="17904823" y="11639550"/>
          <a:ext cx="68380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77</xdr:row>
      <xdr:rowOff>66675</xdr:rowOff>
    </xdr:from>
    <xdr:to>
      <xdr:col>31</xdr:col>
      <xdr:colOff>521698</xdr:colOff>
      <xdr:row>77</xdr:row>
      <xdr:rowOff>66675</xdr:rowOff>
    </xdr:to>
    <xdr:cxnSp macro="">
      <xdr:nvCxnSpPr>
        <xdr:cNvPr id="47488" name="직선 화살표 연결선 47487">
          <a:extLst>
            <a:ext uri="{FF2B5EF4-FFF2-40B4-BE49-F238E27FC236}">
              <a16:creationId xmlns:a16="http://schemas.microsoft.com/office/drawing/2014/main" id="{46C43660-60A0-38EE-9F03-F3DC1918C497}"/>
            </a:ext>
          </a:extLst>
        </xdr:cNvPr>
        <xdr:cNvCxnSpPr/>
      </xdr:nvCxnSpPr>
      <xdr:spPr>
        <a:xfrm>
          <a:off x="17904823" y="116967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76</xdr:row>
      <xdr:rowOff>9525</xdr:rowOff>
    </xdr:from>
    <xdr:to>
      <xdr:col>32</xdr:col>
      <xdr:colOff>0</xdr:colOff>
      <xdr:row>76</xdr:row>
      <xdr:rowOff>123825</xdr:rowOff>
    </xdr:to>
    <xdr:sp macro="" textlink="">
      <xdr:nvSpPr>
        <xdr:cNvPr id="47489" name="67">
          <a:extLst>
            <a:ext uri="{FF2B5EF4-FFF2-40B4-BE49-F238E27FC236}">
              <a16:creationId xmlns:a16="http://schemas.microsoft.com/office/drawing/2014/main" id="{C26A8A7F-B969-8E7B-D6CC-F349B45F6C97}"/>
            </a:ext>
          </a:extLst>
        </xdr:cNvPr>
        <xdr:cNvSpPr/>
      </xdr:nvSpPr>
      <xdr:spPr>
        <a:xfrm>
          <a:off x="17904823" y="1148715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76</xdr:row>
      <xdr:rowOff>66675</xdr:rowOff>
    </xdr:from>
    <xdr:to>
      <xdr:col>31</xdr:col>
      <xdr:colOff>521698</xdr:colOff>
      <xdr:row>76</xdr:row>
      <xdr:rowOff>66675</xdr:rowOff>
    </xdr:to>
    <xdr:cxnSp macro="">
      <xdr:nvCxnSpPr>
        <xdr:cNvPr id="47490" name="직선 화살표 연결선 47489">
          <a:extLst>
            <a:ext uri="{FF2B5EF4-FFF2-40B4-BE49-F238E27FC236}">
              <a16:creationId xmlns:a16="http://schemas.microsoft.com/office/drawing/2014/main" id="{2AD1AB8A-CEE0-6286-4B48-8E9365197804}"/>
            </a:ext>
          </a:extLst>
        </xdr:cNvPr>
        <xdr:cNvCxnSpPr/>
      </xdr:nvCxnSpPr>
      <xdr:spPr>
        <a:xfrm>
          <a:off x="17904823" y="115443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63</xdr:row>
      <xdr:rowOff>121920</xdr:rowOff>
    </xdr:from>
    <xdr:to>
      <xdr:col>32</xdr:col>
      <xdr:colOff>0</xdr:colOff>
      <xdr:row>63</xdr:row>
      <xdr:rowOff>236220</xdr:rowOff>
    </xdr:to>
    <xdr:sp macro="" textlink="">
      <xdr:nvSpPr>
        <xdr:cNvPr id="47515" name="54">
          <a:extLst>
            <a:ext uri="{FF2B5EF4-FFF2-40B4-BE49-F238E27FC236}">
              <a16:creationId xmlns:a16="http://schemas.microsoft.com/office/drawing/2014/main" id="{88FE8F3D-4FB9-D62E-053B-5BDC53A9E91E}"/>
            </a:ext>
          </a:extLst>
        </xdr:cNvPr>
        <xdr:cNvSpPr/>
      </xdr:nvSpPr>
      <xdr:spPr>
        <a:xfrm>
          <a:off x="17904823" y="913257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63</xdr:row>
      <xdr:rowOff>179070</xdr:rowOff>
    </xdr:from>
    <xdr:to>
      <xdr:col>31</xdr:col>
      <xdr:colOff>521698</xdr:colOff>
      <xdr:row>63</xdr:row>
      <xdr:rowOff>179070</xdr:rowOff>
    </xdr:to>
    <xdr:cxnSp macro="">
      <xdr:nvCxnSpPr>
        <xdr:cNvPr id="47516" name="직선 화살표 연결선 47515">
          <a:extLst>
            <a:ext uri="{FF2B5EF4-FFF2-40B4-BE49-F238E27FC236}">
              <a16:creationId xmlns:a16="http://schemas.microsoft.com/office/drawing/2014/main" id="{2850F0C1-9E73-CE93-7004-FD46276783B2}"/>
            </a:ext>
          </a:extLst>
        </xdr:cNvPr>
        <xdr:cNvCxnSpPr/>
      </xdr:nvCxnSpPr>
      <xdr:spPr>
        <a:xfrm>
          <a:off x="17904823" y="91897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16</xdr:row>
      <xdr:rowOff>20955</xdr:rowOff>
    </xdr:from>
    <xdr:to>
      <xdr:col>32</xdr:col>
      <xdr:colOff>0</xdr:colOff>
      <xdr:row>16</xdr:row>
      <xdr:rowOff>135255</xdr:rowOff>
    </xdr:to>
    <xdr:sp macro="" textlink="">
      <xdr:nvSpPr>
        <xdr:cNvPr id="47597" name="13">
          <a:extLst>
            <a:ext uri="{FF2B5EF4-FFF2-40B4-BE49-F238E27FC236}">
              <a16:creationId xmlns:a16="http://schemas.microsoft.com/office/drawing/2014/main" id="{34FB74EF-FF2B-6147-0B3B-12944F6AC5E3}"/>
            </a:ext>
          </a:extLst>
        </xdr:cNvPr>
        <xdr:cNvSpPr/>
      </xdr:nvSpPr>
      <xdr:spPr>
        <a:xfrm>
          <a:off x="17904823" y="26022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16</xdr:row>
      <xdr:rowOff>78105</xdr:rowOff>
    </xdr:from>
    <xdr:to>
      <xdr:col>31</xdr:col>
      <xdr:colOff>521698</xdr:colOff>
      <xdr:row>16</xdr:row>
      <xdr:rowOff>78105</xdr:rowOff>
    </xdr:to>
    <xdr:cxnSp macro="">
      <xdr:nvCxnSpPr>
        <xdr:cNvPr id="47598" name="직선 화살표 연결선 47597">
          <a:extLst>
            <a:ext uri="{FF2B5EF4-FFF2-40B4-BE49-F238E27FC236}">
              <a16:creationId xmlns:a16="http://schemas.microsoft.com/office/drawing/2014/main" id="{AD02B8EF-8547-8B8A-03AC-551852F404ED}"/>
            </a:ext>
          </a:extLst>
        </xdr:cNvPr>
        <xdr:cNvCxnSpPr/>
      </xdr:nvCxnSpPr>
      <xdr:spPr>
        <a:xfrm>
          <a:off x="17904823" y="265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15</xdr:row>
      <xdr:rowOff>20955</xdr:rowOff>
    </xdr:from>
    <xdr:to>
      <xdr:col>32</xdr:col>
      <xdr:colOff>0</xdr:colOff>
      <xdr:row>15</xdr:row>
      <xdr:rowOff>135255</xdr:rowOff>
    </xdr:to>
    <xdr:sp macro="" textlink="">
      <xdr:nvSpPr>
        <xdr:cNvPr id="47599" name="12">
          <a:extLst>
            <a:ext uri="{FF2B5EF4-FFF2-40B4-BE49-F238E27FC236}">
              <a16:creationId xmlns:a16="http://schemas.microsoft.com/office/drawing/2014/main" id="{76AD2760-0527-D42B-712C-FBDF770BE4E9}"/>
            </a:ext>
          </a:extLst>
        </xdr:cNvPr>
        <xdr:cNvSpPr/>
      </xdr:nvSpPr>
      <xdr:spPr>
        <a:xfrm>
          <a:off x="17904823" y="2449830"/>
          <a:ext cx="39424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15</xdr:row>
      <xdr:rowOff>78105</xdr:rowOff>
    </xdr:from>
    <xdr:to>
      <xdr:col>31</xdr:col>
      <xdr:colOff>521698</xdr:colOff>
      <xdr:row>15</xdr:row>
      <xdr:rowOff>78105</xdr:rowOff>
    </xdr:to>
    <xdr:cxnSp macro="">
      <xdr:nvCxnSpPr>
        <xdr:cNvPr id="47600" name="직선 화살표 연결선 47599">
          <a:extLst>
            <a:ext uri="{FF2B5EF4-FFF2-40B4-BE49-F238E27FC236}">
              <a16:creationId xmlns:a16="http://schemas.microsoft.com/office/drawing/2014/main" id="{90D0D1B4-3331-D7AD-E3B3-A789EEC57D9D}"/>
            </a:ext>
          </a:extLst>
        </xdr:cNvPr>
        <xdr:cNvCxnSpPr/>
      </xdr:nvCxnSpPr>
      <xdr:spPr>
        <a:xfrm>
          <a:off x="17904823" y="250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14</xdr:row>
      <xdr:rowOff>20955</xdr:rowOff>
    </xdr:from>
    <xdr:to>
      <xdr:col>32</xdr:col>
      <xdr:colOff>0</xdr:colOff>
      <xdr:row>14</xdr:row>
      <xdr:rowOff>135255</xdr:rowOff>
    </xdr:to>
    <xdr:sp macro="" textlink="">
      <xdr:nvSpPr>
        <xdr:cNvPr id="47601" name="11">
          <a:extLst>
            <a:ext uri="{FF2B5EF4-FFF2-40B4-BE49-F238E27FC236}">
              <a16:creationId xmlns:a16="http://schemas.microsoft.com/office/drawing/2014/main" id="{BE6BB6EA-F54B-AE0F-ABFC-6803C8F9FAA8}"/>
            </a:ext>
          </a:extLst>
        </xdr:cNvPr>
        <xdr:cNvSpPr/>
      </xdr:nvSpPr>
      <xdr:spPr>
        <a:xfrm>
          <a:off x="17904823" y="2297430"/>
          <a:ext cx="9733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14</xdr:row>
      <xdr:rowOff>78105</xdr:rowOff>
    </xdr:from>
    <xdr:to>
      <xdr:col>31</xdr:col>
      <xdr:colOff>521698</xdr:colOff>
      <xdr:row>14</xdr:row>
      <xdr:rowOff>78105</xdr:rowOff>
    </xdr:to>
    <xdr:cxnSp macro="">
      <xdr:nvCxnSpPr>
        <xdr:cNvPr id="47602" name="직선 화살표 연결선 47601">
          <a:extLst>
            <a:ext uri="{FF2B5EF4-FFF2-40B4-BE49-F238E27FC236}">
              <a16:creationId xmlns:a16="http://schemas.microsoft.com/office/drawing/2014/main" id="{A7BA20AA-E2DF-BD9D-9159-AEF44BE0A7EE}"/>
            </a:ext>
          </a:extLst>
        </xdr:cNvPr>
        <xdr:cNvCxnSpPr/>
      </xdr:nvCxnSpPr>
      <xdr:spPr>
        <a:xfrm>
          <a:off x="17904823" y="235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10</xdr:row>
      <xdr:rowOff>20955</xdr:rowOff>
    </xdr:from>
    <xdr:to>
      <xdr:col>32</xdr:col>
      <xdr:colOff>0</xdr:colOff>
      <xdr:row>10</xdr:row>
      <xdr:rowOff>135255</xdr:rowOff>
    </xdr:to>
    <xdr:sp macro="" textlink="">
      <xdr:nvSpPr>
        <xdr:cNvPr id="47609" name="7">
          <a:extLst>
            <a:ext uri="{FF2B5EF4-FFF2-40B4-BE49-F238E27FC236}">
              <a16:creationId xmlns:a16="http://schemas.microsoft.com/office/drawing/2014/main" id="{D83A9D87-FAB3-E50D-EA59-EEC8D5C3CFE9}"/>
            </a:ext>
          </a:extLst>
        </xdr:cNvPr>
        <xdr:cNvSpPr/>
      </xdr:nvSpPr>
      <xdr:spPr>
        <a:xfrm>
          <a:off x="17904823" y="1687830"/>
          <a:ext cx="31450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10</xdr:row>
      <xdr:rowOff>78105</xdr:rowOff>
    </xdr:from>
    <xdr:to>
      <xdr:col>31</xdr:col>
      <xdr:colOff>521698</xdr:colOff>
      <xdr:row>10</xdr:row>
      <xdr:rowOff>78105</xdr:rowOff>
    </xdr:to>
    <xdr:cxnSp macro="">
      <xdr:nvCxnSpPr>
        <xdr:cNvPr id="47610" name="직선 화살표 연결선 47609">
          <a:extLst>
            <a:ext uri="{FF2B5EF4-FFF2-40B4-BE49-F238E27FC236}">
              <a16:creationId xmlns:a16="http://schemas.microsoft.com/office/drawing/2014/main" id="{E14B1FB5-0786-5DEB-E048-8BC9CBB1FCD9}"/>
            </a:ext>
          </a:extLst>
        </xdr:cNvPr>
        <xdr:cNvCxnSpPr/>
      </xdr:nvCxnSpPr>
      <xdr:spPr>
        <a:xfrm>
          <a:off x="17904823" y="174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9</xdr:row>
      <xdr:rowOff>20955</xdr:rowOff>
    </xdr:from>
    <xdr:to>
      <xdr:col>32</xdr:col>
      <xdr:colOff>0</xdr:colOff>
      <xdr:row>9</xdr:row>
      <xdr:rowOff>135255</xdr:rowOff>
    </xdr:to>
    <xdr:sp macro="" textlink="">
      <xdr:nvSpPr>
        <xdr:cNvPr id="47611" name="6">
          <a:extLst>
            <a:ext uri="{FF2B5EF4-FFF2-40B4-BE49-F238E27FC236}">
              <a16:creationId xmlns:a16="http://schemas.microsoft.com/office/drawing/2014/main" id="{10D21D1B-39B6-F38B-BF24-F917F4BE585E}"/>
            </a:ext>
          </a:extLst>
        </xdr:cNvPr>
        <xdr:cNvSpPr/>
      </xdr:nvSpPr>
      <xdr:spPr>
        <a:xfrm>
          <a:off x="17904823" y="1535430"/>
          <a:ext cx="31450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9</xdr:row>
      <xdr:rowOff>78105</xdr:rowOff>
    </xdr:from>
    <xdr:to>
      <xdr:col>31</xdr:col>
      <xdr:colOff>521698</xdr:colOff>
      <xdr:row>9</xdr:row>
      <xdr:rowOff>78105</xdr:rowOff>
    </xdr:to>
    <xdr:cxnSp macro="">
      <xdr:nvCxnSpPr>
        <xdr:cNvPr id="47612" name="직선 화살표 연결선 47611">
          <a:extLst>
            <a:ext uri="{FF2B5EF4-FFF2-40B4-BE49-F238E27FC236}">
              <a16:creationId xmlns:a16="http://schemas.microsoft.com/office/drawing/2014/main" id="{D5A6F46C-5C86-48B9-6F58-52DD2F18723A}"/>
            </a:ext>
          </a:extLst>
        </xdr:cNvPr>
        <xdr:cNvCxnSpPr/>
      </xdr:nvCxnSpPr>
      <xdr:spPr>
        <a:xfrm>
          <a:off x="17904823" y="159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8</xdr:row>
      <xdr:rowOff>20955</xdr:rowOff>
    </xdr:from>
    <xdr:to>
      <xdr:col>32</xdr:col>
      <xdr:colOff>0</xdr:colOff>
      <xdr:row>8</xdr:row>
      <xdr:rowOff>135255</xdr:rowOff>
    </xdr:to>
    <xdr:sp macro="" textlink="">
      <xdr:nvSpPr>
        <xdr:cNvPr id="47613" name="5">
          <a:extLst>
            <a:ext uri="{FF2B5EF4-FFF2-40B4-BE49-F238E27FC236}">
              <a16:creationId xmlns:a16="http://schemas.microsoft.com/office/drawing/2014/main" id="{1D8E749B-4063-7A2D-5BAE-23627443622C}"/>
            </a:ext>
          </a:extLst>
        </xdr:cNvPr>
        <xdr:cNvSpPr/>
      </xdr:nvSpPr>
      <xdr:spPr>
        <a:xfrm>
          <a:off x="17904823" y="138303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8</xdr:row>
      <xdr:rowOff>78105</xdr:rowOff>
    </xdr:from>
    <xdr:to>
      <xdr:col>31</xdr:col>
      <xdr:colOff>521698</xdr:colOff>
      <xdr:row>8</xdr:row>
      <xdr:rowOff>78105</xdr:rowOff>
    </xdr:to>
    <xdr:cxnSp macro="">
      <xdr:nvCxnSpPr>
        <xdr:cNvPr id="47614" name="직선 화살표 연결선 47613">
          <a:extLst>
            <a:ext uri="{FF2B5EF4-FFF2-40B4-BE49-F238E27FC236}">
              <a16:creationId xmlns:a16="http://schemas.microsoft.com/office/drawing/2014/main" id="{9D7EF2E5-5FA0-9213-1759-BF9E2D2B4D47}"/>
            </a:ext>
          </a:extLst>
        </xdr:cNvPr>
        <xdr:cNvCxnSpPr/>
      </xdr:nvCxnSpPr>
      <xdr:spPr>
        <a:xfrm>
          <a:off x="17904823" y="144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6</xdr:row>
      <xdr:rowOff>20955</xdr:rowOff>
    </xdr:from>
    <xdr:to>
      <xdr:col>32</xdr:col>
      <xdr:colOff>0</xdr:colOff>
      <xdr:row>6</xdr:row>
      <xdr:rowOff>135255</xdr:rowOff>
    </xdr:to>
    <xdr:sp macro="" textlink="">
      <xdr:nvSpPr>
        <xdr:cNvPr id="47617" name="3">
          <a:extLst>
            <a:ext uri="{FF2B5EF4-FFF2-40B4-BE49-F238E27FC236}">
              <a16:creationId xmlns:a16="http://schemas.microsoft.com/office/drawing/2014/main" id="{0A087308-3F0F-A578-E0B3-5F7170D65D74}"/>
            </a:ext>
          </a:extLst>
        </xdr:cNvPr>
        <xdr:cNvSpPr/>
      </xdr:nvSpPr>
      <xdr:spPr>
        <a:xfrm>
          <a:off x="17904823" y="1078230"/>
          <a:ext cx="2080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6</xdr:row>
      <xdr:rowOff>78105</xdr:rowOff>
    </xdr:from>
    <xdr:to>
      <xdr:col>31</xdr:col>
      <xdr:colOff>521698</xdr:colOff>
      <xdr:row>6</xdr:row>
      <xdr:rowOff>78105</xdr:rowOff>
    </xdr:to>
    <xdr:cxnSp macro="">
      <xdr:nvCxnSpPr>
        <xdr:cNvPr id="47618" name="직선 화살표 연결선 47617">
          <a:extLst>
            <a:ext uri="{FF2B5EF4-FFF2-40B4-BE49-F238E27FC236}">
              <a16:creationId xmlns:a16="http://schemas.microsoft.com/office/drawing/2014/main" id="{765C7379-E694-EF0D-877A-C61A6A5FD8B3}"/>
            </a:ext>
          </a:extLst>
        </xdr:cNvPr>
        <xdr:cNvCxnSpPr/>
      </xdr:nvCxnSpPr>
      <xdr:spPr>
        <a:xfrm>
          <a:off x="17904823" y="113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5</xdr:row>
      <xdr:rowOff>20955</xdr:rowOff>
    </xdr:from>
    <xdr:to>
      <xdr:col>32</xdr:col>
      <xdr:colOff>0</xdr:colOff>
      <xdr:row>5</xdr:row>
      <xdr:rowOff>135255</xdr:rowOff>
    </xdr:to>
    <xdr:sp macro="" textlink="">
      <xdr:nvSpPr>
        <xdr:cNvPr id="47619" name="2">
          <a:extLst>
            <a:ext uri="{FF2B5EF4-FFF2-40B4-BE49-F238E27FC236}">
              <a16:creationId xmlns:a16="http://schemas.microsoft.com/office/drawing/2014/main" id="{45BF40E5-94D2-358D-8B7A-E150CA01D31E}"/>
            </a:ext>
          </a:extLst>
        </xdr:cNvPr>
        <xdr:cNvSpPr/>
      </xdr:nvSpPr>
      <xdr:spPr>
        <a:xfrm>
          <a:off x="17904823" y="925830"/>
          <a:ext cx="22878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5</xdr:row>
      <xdr:rowOff>78105</xdr:rowOff>
    </xdr:from>
    <xdr:to>
      <xdr:col>31</xdr:col>
      <xdr:colOff>521698</xdr:colOff>
      <xdr:row>5</xdr:row>
      <xdr:rowOff>78105</xdr:rowOff>
    </xdr:to>
    <xdr:cxnSp macro="">
      <xdr:nvCxnSpPr>
        <xdr:cNvPr id="47620" name="직선 화살표 연결선 47619">
          <a:extLst>
            <a:ext uri="{FF2B5EF4-FFF2-40B4-BE49-F238E27FC236}">
              <a16:creationId xmlns:a16="http://schemas.microsoft.com/office/drawing/2014/main" id="{7893630A-D2BD-C223-6379-948858BD4D61}"/>
            </a:ext>
          </a:extLst>
        </xdr:cNvPr>
        <xdr:cNvCxnSpPr/>
      </xdr:nvCxnSpPr>
      <xdr:spPr>
        <a:xfrm>
          <a:off x="17904823" y="98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4</xdr:row>
      <xdr:rowOff>20955</xdr:rowOff>
    </xdr:from>
    <xdr:to>
      <xdr:col>32</xdr:col>
      <xdr:colOff>0</xdr:colOff>
      <xdr:row>4</xdr:row>
      <xdr:rowOff>135255</xdr:rowOff>
    </xdr:to>
    <xdr:sp macro="" textlink="">
      <xdr:nvSpPr>
        <xdr:cNvPr id="47621" name="1">
          <a:extLst>
            <a:ext uri="{FF2B5EF4-FFF2-40B4-BE49-F238E27FC236}">
              <a16:creationId xmlns:a16="http://schemas.microsoft.com/office/drawing/2014/main" id="{D2B4E70B-AD26-12AC-949D-3909B7D74E7B}"/>
            </a:ext>
          </a:extLst>
        </xdr:cNvPr>
        <xdr:cNvSpPr/>
      </xdr:nvSpPr>
      <xdr:spPr>
        <a:xfrm>
          <a:off x="17904823" y="77343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4</xdr:row>
      <xdr:rowOff>78105</xdr:rowOff>
    </xdr:from>
    <xdr:to>
      <xdr:col>31</xdr:col>
      <xdr:colOff>521698</xdr:colOff>
      <xdr:row>4</xdr:row>
      <xdr:rowOff>78105</xdr:rowOff>
    </xdr:to>
    <xdr:cxnSp macro="">
      <xdr:nvCxnSpPr>
        <xdr:cNvPr id="47622" name="직선 화살표 연결선 47621">
          <a:extLst>
            <a:ext uri="{FF2B5EF4-FFF2-40B4-BE49-F238E27FC236}">
              <a16:creationId xmlns:a16="http://schemas.microsoft.com/office/drawing/2014/main" id="{970EE0C4-7678-7E16-4304-6C2DE18CD346}"/>
            </a:ext>
          </a:extLst>
        </xdr:cNvPr>
        <xdr:cNvCxnSpPr/>
      </xdr:nvCxnSpPr>
      <xdr:spPr>
        <a:xfrm>
          <a:off x="17904823" y="83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77</xdr:row>
      <xdr:rowOff>9525</xdr:rowOff>
    </xdr:from>
    <xdr:to>
      <xdr:col>32</xdr:col>
      <xdr:colOff>0</xdr:colOff>
      <xdr:row>77</xdr:row>
      <xdr:rowOff>123825</xdr:rowOff>
    </xdr:to>
    <xdr:sp macro="" textlink="">
      <xdr:nvSpPr>
        <xdr:cNvPr id="47633" name="68">
          <a:extLst>
            <a:ext uri="{FF2B5EF4-FFF2-40B4-BE49-F238E27FC236}">
              <a16:creationId xmlns:a16="http://schemas.microsoft.com/office/drawing/2014/main" id="{6AB75862-83EC-092B-103B-1A87634143EE}"/>
            </a:ext>
          </a:extLst>
        </xdr:cNvPr>
        <xdr:cNvSpPr/>
      </xdr:nvSpPr>
      <xdr:spPr>
        <a:xfrm>
          <a:off x="20495623" y="11639550"/>
          <a:ext cx="68380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77</xdr:row>
      <xdr:rowOff>66675</xdr:rowOff>
    </xdr:from>
    <xdr:to>
      <xdr:col>31</xdr:col>
      <xdr:colOff>521698</xdr:colOff>
      <xdr:row>77</xdr:row>
      <xdr:rowOff>66675</xdr:rowOff>
    </xdr:to>
    <xdr:cxnSp macro="">
      <xdr:nvCxnSpPr>
        <xdr:cNvPr id="47634" name="직선 화살표 연결선 47633">
          <a:extLst>
            <a:ext uri="{FF2B5EF4-FFF2-40B4-BE49-F238E27FC236}">
              <a16:creationId xmlns:a16="http://schemas.microsoft.com/office/drawing/2014/main" id="{81D814DC-0817-ED73-6955-822C4324B3B9}"/>
            </a:ext>
          </a:extLst>
        </xdr:cNvPr>
        <xdr:cNvCxnSpPr/>
      </xdr:nvCxnSpPr>
      <xdr:spPr>
        <a:xfrm>
          <a:off x="20495623" y="116967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76</xdr:row>
      <xdr:rowOff>9525</xdr:rowOff>
    </xdr:from>
    <xdr:to>
      <xdr:col>32</xdr:col>
      <xdr:colOff>0</xdr:colOff>
      <xdr:row>76</xdr:row>
      <xdr:rowOff>123825</xdr:rowOff>
    </xdr:to>
    <xdr:sp macro="" textlink="">
      <xdr:nvSpPr>
        <xdr:cNvPr id="47635" name="67">
          <a:extLst>
            <a:ext uri="{FF2B5EF4-FFF2-40B4-BE49-F238E27FC236}">
              <a16:creationId xmlns:a16="http://schemas.microsoft.com/office/drawing/2014/main" id="{F41A972C-2592-0843-1B0B-26E1328F7C9C}"/>
            </a:ext>
          </a:extLst>
        </xdr:cNvPr>
        <xdr:cNvSpPr/>
      </xdr:nvSpPr>
      <xdr:spPr>
        <a:xfrm>
          <a:off x="20495623" y="1148715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76</xdr:row>
      <xdr:rowOff>66675</xdr:rowOff>
    </xdr:from>
    <xdr:to>
      <xdr:col>31</xdr:col>
      <xdr:colOff>521698</xdr:colOff>
      <xdr:row>76</xdr:row>
      <xdr:rowOff>66675</xdr:rowOff>
    </xdr:to>
    <xdr:cxnSp macro="">
      <xdr:nvCxnSpPr>
        <xdr:cNvPr id="47636" name="직선 화살표 연결선 47635">
          <a:extLst>
            <a:ext uri="{FF2B5EF4-FFF2-40B4-BE49-F238E27FC236}">
              <a16:creationId xmlns:a16="http://schemas.microsoft.com/office/drawing/2014/main" id="{692F36F3-F84E-87CE-E2EC-E5BAC635A1DF}"/>
            </a:ext>
          </a:extLst>
        </xdr:cNvPr>
        <xdr:cNvCxnSpPr/>
      </xdr:nvCxnSpPr>
      <xdr:spPr>
        <a:xfrm>
          <a:off x="20495623" y="115443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63</xdr:row>
      <xdr:rowOff>121920</xdr:rowOff>
    </xdr:from>
    <xdr:to>
      <xdr:col>32</xdr:col>
      <xdr:colOff>0</xdr:colOff>
      <xdr:row>63</xdr:row>
      <xdr:rowOff>236220</xdr:rowOff>
    </xdr:to>
    <xdr:sp macro="" textlink="">
      <xdr:nvSpPr>
        <xdr:cNvPr id="47661" name="54">
          <a:extLst>
            <a:ext uri="{FF2B5EF4-FFF2-40B4-BE49-F238E27FC236}">
              <a16:creationId xmlns:a16="http://schemas.microsoft.com/office/drawing/2014/main" id="{274C5AC5-7694-9E70-C9EA-0B52A53AEDF9}"/>
            </a:ext>
          </a:extLst>
        </xdr:cNvPr>
        <xdr:cNvSpPr/>
      </xdr:nvSpPr>
      <xdr:spPr>
        <a:xfrm>
          <a:off x="20495623" y="913257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63</xdr:row>
      <xdr:rowOff>179070</xdr:rowOff>
    </xdr:from>
    <xdr:to>
      <xdr:col>31</xdr:col>
      <xdr:colOff>521698</xdr:colOff>
      <xdr:row>63</xdr:row>
      <xdr:rowOff>179070</xdr:rowOff>
    </xdr:to>
    <xdr:cxnSp macro="">
      <xdr:nvCxnSpPr>
        <xdr:cNvPr id="47662" name="직선 화살표 연결선 47661">
          <a:extLst>
            <a:ext uri="{FF2B5EF4-FFF2-40B4-BE49-F238E27FC236}">
              <a16:creationId xmlns:a16="http://schemas.microsoft.com/office/drawing/2014/main" id="{5C0FEAB3-18CD-577E-2287-44B7C5E7E4BA}"/>
            </a:ext>
          </a:extLst>
        </xdr:cNvPr>
        <xdr:cNvCxnSpPr/>
      </xdr:nvCxnSpPr>
      <xdr:spPr>
        <a:xfrm>
          <a:off x="20495623" y="91897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16</xdr:row>
      <xdr:rowOff>20955</xdr:rowOff>
    </xdr:from>
    <xdr:to>
      <xdr:col>32</xdr:col>
      <xdr:colOff>0</xdr:colOff>
      <xdr:row>16</xdr:row>
      <xdr:rowOff>135255</xdr:rowOff>
    </xdr:to>
    <xdr:sp macro="" textlink="">
      <xdr:nvSpPr>
        <xdr:cNvPr id="47743" name="13">
          <a:extLst>
            <a:ext uri="{FF2B5EF4-FFF2-40B4-BE49-F238E27FC236}">
              <a16:creationId xmlns:a16="http://schemas.microsoft.com/office/drawing/2014/main" id="{0564614B-4689-83EB-8483-3350B63FC516}"/>
            </a:ext>
          </a:extLst>
        </xdr:cNvPr>
        <xdr:cNvSpPr/>
      </xdr:nvSpPr>
      <xdr:spPr>
        <a:xfrm>
          <a:off x="20495623" y="26022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16</xdr:row>
      <xdr:rowOff>78105</xdr:rowOff>
    </xdr:from>
    <xdr:to>
      <xdr:col>31</xdr:col>
      <xdr:colOff>521698</xdr:colOff>
      <xdr:row>16</xdr:row>
      <xdr:rowOff>78105</xdr:rowOff>
    </xdr:to>
    <xdr:cxnSp macro="">
      <xdr:nvCxnSpPr>
        <xdr:cNvPr id="47744" name="직선 화살표 연결선 47743">
          <a:extLst>
            <a:ext uri="{FF2B5EF4-FFF2-40B4-BE49-F238E27FC236}">
              <a16:creationId xmlns:a16="http://schemas.microsoft.com/office/drawing/2014/main" id="{7B3C6114-CB78-50A9-C8F8-952151CADCEC}"/>
            </a:ext>
          </a:extLst>
        </xdr:cNvPr>
        <xdr:cNvCxnSpPr/>
      </xdr:nvCxnSpPr>
      <xdr:spPr>
        <a:xfrm>
          <a:off x="20495623" y="265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15</xdr:row>
      <xdr:rowOff>20955</xdr:rowOff>
    </xdr:from>
    <xdr:to>
      <xdr:col>32</xdr:col>
      <xdr:colOff>0</xdr:colOff>
      <xdr:row>15</xdr:row>
      <xdr:rowOff>135255</xdr:rowOff>
    </xdr:to>
    <xdr:sp macro="" textlink="">
      <xdr:nvSpPr>
        <xdr:cNvPr id="47745" name="12">
          <a:extLst>
            <a:ext uri="{FF2B5EF4-FFF2-40B4-BE49-F238E27FC236}">
              <a16:creationId xmlns:a16="http://schemas.microsoft.com/office/drawing/2014/main" id="{8C3C9796-008B-A7A4-4D21-70E022DF3C07}"/>
            </a:ext>
          </a:extLst>
        </xdr:cNvPr>
        <xdr:cNvSpPr/>
      </xdr:nvSpPr>
      <xdr:spPr>
        <a:xfrm>
          <a:off x="20495623" y="2449830"/>
          <a:ext cx="39424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15</xdr:row>
      <xdr:rowOff>78105</xdr:rowOff>
    </xdr:from>
    <xdr:to>
      <xdr:col>31</xdr:col>
      <xdr:colOff>521698</xdr:colOff>
      <xdr:row>15</xdr:row>
      <xdr:rowOff>78105</xdr:rowOff>
    </xdr:to>
    <xdr:cxnSp macro="">
      <xdr:nvCxnSpPr>
        <xdr:cNvPr id="47746" name="직선 화살표 연결선 47745">
          <a:extLst>
            <a:ext uri="{FF2B5EF4-FFF2-40B4-BE49-F238E27FC236}">
              <a16:creationId xmlns:a16="http://schemas.microsoft.com/office/drawing/2014/main" id="{069D09DD-D2D4-3716-8EB6-C3EF8D9BB0E8}"/>
            </a:ext>
          </a:extLst>
        </xdr:cNvPr>
        <xdr:cNvCxnSpPr/>
      </xdr:nvCxnSpPr>
      <xdr:spPr>
        <a:xfrm>
          <a:off x="20495623" y="250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14</xdr:row>
      <xdr:rowOff>20955</xdr:rowOff>
    </xdr:from>
    <xdr:to>
      <xdr:col>32</xdr:col>
      <xdr:colOff>0</xdr:colOff>
      <xdr:row>14</xdr:row>
      <xdr:rowOff>135255</xdr:rowOff>
    </xdr:to>
    <xdr:sp macro="" textlink="">
      <xdr:nvSpPr>
        <xdr:cNvPr id="47747" name="11">
          <a:extLst>
            <a:ext uri="{FF2B5EF4-FFF2-40B4-BE49-F238E27FC236}">
              <a16:creationId xmlns:a16="http://schemas.microsoft.com/office/drawing/2014/main" id="{B9083788-DF0F-2A69-6CD4-94EB0B22A4E8}"/>
            </a:ext>
          </a:extLst>
        </xdr:cNvPr>
        <xdr:cNvSpPr/>
      </xdr:nvSpPr>
      <xdr:spPr>
        <a:xfrm>
          <a:off x="20495623" y="2297430"/>
          <a:ext cx="9733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14</xdr:row>
      <xdr:rowOff>78105</xdr:rowOff>
    </xdr:from>
    <xdr:to>
      <xdr:col>31</xdr:col>
      <xdr:colOff>521698</xdr:colOff>
      <xdr:row>14</xdr:row>
      <xdr:rowOff>78105</xdr:rowOff>
    </xdr:to>
    <xdr:cxnSp macro="">
      <xdr:nvCxnSpPr>
        <xdr:cNvPr id="47748" name="직선 화살표 연결선 47747">
          <a:extLst>
            <a:ext uri="{FF2B5EF4-FFF2-40B4-BE49-F238E27FC236}">
              <a16:creationId xmlns:a16="http://schemas.microsoft.com/office/drawing/2014/main" id="{72D253A0-FB45-FCB7-C36C-BDCD7E5D57D9}"/>
            </a:ext>
          </a:extLst>
        </xdr:cNvPr>
        <xdr:cNvCxnSpPr/>
      </xdr:nvCxnSpPr>
      <xdr:spPr>
        <a:xfrm>
          <a:off x="20495623" y="235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10</xdr:row>
      <xdr:rowOff>20955</xdr:rowOff>
    </xdr:from>
    <xdr:to>
      <xdr:col>32</xdr:col>
      <xdr:colOff>0</xdr:colOff>
      <xdr:row>10</xdr:row>
      <xdr:rowOff>135255</xdr:rowOff>
    </xdr:to>
    <xdr:sp macro="" textlink="">
      <xdr:nvSpPr>
        <xdr:cNvPr id="47755" name="7">
          <a:extLst>
            <a:ext uri="{FF2B5EF4-FFF2-40B4-BE49-F238E27FC236}">
              <a16:creationId xmlns:a16="http://schemas.microsoft.com/office/drawing/2014/main" id="{68C88DCB-7761-6F8F-3669-96DC0E582772}"/>
            </a:ext>
          </a:extLst>
        </xdr:cNvPr>
        <xdr:cNvSpPr/>
      </xdr:nvSpPr>
      <xdr:spPr>
        <a:xfrm>
          <a:off x="20495623" y="1687830"/>
          <a:ext cx="31450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10</xdr:row>
      <xdr:rowOff>78105</xdr:rowOff>
    </xdr:from>
    <xdr:to>
      <xdr:col>31</xdr:col>
      <xdr:colOff>521698</xdr:colOff>
      <xdr:row>10</xdr:row>
      <xdr:rowOff>78105</xdr:rowOff>
    </xdr:to>
    <xdr:cxnSp macro="">
      <xdr:nvCxnSpPr>
        <xdr:cNvPr id="47756" name="직선 화살표 연결선 47755">
          <a:extLst>
            <a:ext uri="{FF2B5EF4-FFF2-40B4-BE49-F238E27FC236}">
              <a16:creationId xmlns:a16="http://schemas.microsoft.com/office/drawing/2014/main" id="{86702151-EBED-2FDC-6484-22F0AB87A582}"/>
            </a:ext>
          </a:extLst>
        </xdr:cNvPr>
        <xdr:cNvCxnSpPr/>
      </xdr:nvCxnSpPr>
      <xdr:spPr>
        <a:xfrm>
          <a:off x="20495623" y="174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9</xdr:row>
      <xdr:rowOff>20955</xdr:rowOff>
    </xdr:from>
    <xdr:to>
      <xdr:col>32</xdr:col>
      <xdr:colOff>0</xdr:colOff>
      <xdr:row>9</xdr:row>
      <xdr:rowOff>135255</xdr:rowOff>
    </xdr:to>
    <xdr:sp macro="" textlink="">
      <xdr:nvSpPr>
        <xdr:cNvPr id="47757" name="6">
          <a:extLst>
            <a:ext uri="{FF2B5EF4-FFF2-40B4-BE49-F238E27FC236}">
              <a16:creationId xmlns:a16="http://schemas.microsoft.com/office/drawing/2014/main" id="{BE97929C-F2E9-588C-C2B4-7C26DB4B58F3}"/>
            </a:ext>
          </a:extLst>
        </xdr:cNvPr>
        <xdr:cNvSpPr/>
      </xdr:nvSpPr>
      <xdr:spPr>
        <a:xfrm>
          <a:off x="20495623" y="1535430"/>
          <a:ext cx="31450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9</xdr:row>
      <xdr:rowOff>78105</xdr:rowOff>
    </xdr:from>
    <xdr:to>
      <xdr:col>31</xdr:col>
      <xdr:colOff>521698</xdr:colOff>
      <xdr:row>9</xdr:row>
      <xdr:rowOff>78105</xdr:rowOff>
    </xdr:to>
    <xdr:cxnSp macro="">
      <xdr:nvCxnSpPr>
        <xdr:cNvPr id="47758" name="직선 화살표 연결선 47757">
          <a:extLst>
            <a:ext uri="{FF2B5EF4-FFF2-40B4-BE49-F238E27FC236}">
              <a16:creationId xmlns:a16="http://schemas.microsoft.com/office/drawing/2014/main" id="{A3BC2C06-B1F6-9BBF-E5BA-172ACB014F88}"/>
            </a:ext>
          </a:extLst>
        </xdr:cNvPr>
        <xdr:cNvCxnSpPr/>
      </xdr:nvCxnSpPr>
      <xdr:spPr>
        <a:xfrm>
          <a:off x="20495623" y="159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8</xdr:row>
      <xdr:rowOff>20955</xdr:rowOff>
    </xdr:from>
    <xdr:to>
      <xdr:col>32</xdr:col>
      <xdr:colOff>0</xdr:colOff>
      <xdr:row>8</xdr:row>
      <xdr:rowOff>135255</xdr:rowOff>
    </xdr:to>
    <xdr:sp macro="" textlink="">
      <xdr:nvSpPr>
        <xdr:cNvPr id="47759" name="5">
          <a:extLst>
            <a:ext uri="{FF2B5EF4-FFF2-40B4-BE49-F238E27FC236}">
              <a16:creationId xmlns:a16="http://schemas.microsoft.com/office/drawing/2014/main" id="{E794AC89-87CB-3C00-0344-E1644FC82A47}"/>
            </a:ext>
          </a:extLst>
        </xdr:cNvPr>
        <xdr:cNvSpPr/>
      </xdr:nvSpPr>
      <xdr:spPr>
        <a:xfrm>
          <a:off x="20495623" y="138303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8</xdr:row>
      <xdr:rowOff>78105</xdr:rowOff>
    </xdr:from>
    <xdr:to>
      <xdr:col>31</xdr:col>
      <xdr:colOff>521698</xdr:colOff>
      <xdr:row>8</xdr:row>
      <xdr:rowOff>78105</xdr:rowOff>
    </xdr:to>
    <xdr:cxnSp macro="">
      <xdr:nvCxnSpPr>
        <xdr:cNvPr id="47760" name="직선 화살표 연결선 47759">
          <a:extLst>
            <a:ext uri="{FF2B5EF4-FFF2-40B4-BE49-F238E27FC236}">
              <a16:creationId xmlns:a16="http://schemas.microsoft.com/office/drawing/2014/main" id="{6A216BBF-9F96-5ED0-D9C6-D6CC886543F1}"/>
            </a:ext>
          </a:extLst>
        </xdr:cNvPr>
        <xdr:cNvCxnSpPr/>
      </xdr:nvCxnSpPr>
      <xdr:spPr>
        <a:xfrm>
          <a:off x="20495623" y="144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6</xdr:row>
      <xdr:rowOff>20955</xdr:rowOff>
    </xdr:from>
    <xdr:to>
      <xdr:col>32</xdr:col>
      <xdr:colOff>0</xdr:colOff>
      <xdr:row>6</xdr:row>
      <xdr:rowOff>135255</xdr:rowOff>
    </xdr:to>
    <xdr:sp macro="" textlink="">
      <xdr:nvSpPr>
        <xdr:cNvPr id="47763" name="3">
          <a:extLst>
            <a:ext uri="{FF2B5EF4-FFF2-40B4-BE49-F238E27FC236}">
              <a16:creationId xmlns:a16="http://schemas.microsoft.com/office/drawing/2014/main" id="{7B1F4173-3412-867A-7E1C-5563CA4EA20A}"/>
            </a:ext>
          </a:extLst>
        </xdr:cNvPr>
        <xdr:cNvSpPr/>
      </xdr:nvSpPr>
      <xdr:spPr>
        <a:xfrm>
          <a:off x="20495623" y="1078230"/>
          <a:ext cx="2080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6</xdr:row>
      <xdr:rowOff>78105</xdr:rowOff>
    </xdr:from>
    <xdr:to>
      <xdr:col>31</xdr:col>
      <xdr:colOff>521698</xdr:colOff>
      <xdr:row>6</xdr:row>
      <xdr:rowOff>78105</xdr:rowOff>
    </xdr:to>
    <xdr:cxnSp macro="">
      <xdr:nvCxnSpPr>
        <xdr:cNvPr id="47764" name="직선 화살표 연결선 47763">
          <a:extLst>
            <a:ext uri="{FF2B5EF4-FFF2-40B4-BE49-F238E27FC236}">
              <a16:creationId xmlns:a16="http://schemas.microsoft.com/office/drawing/2014/main" id="{C94F09C1-8ACF-A2FF-900E-E1248E2807A7}"/>
            </a:ext>
          </a:extLst>
        </xdr:cNvPr>
        <xdr:cNvCxnSpPr/>
      </xdr:nvCxnSpPr>
      <xdr:spPr>
        <a:xfrm>
          <a:off x="20495623" y="113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5</xdr:row>
      <xdr:rowOff>20955</xdr:rowOff>
    </xdr:from>
    <xdr:to>
      <xdr:col>32</xdr:col>
      <xdr:colOff>0</xdr:colOff>
      <xdr:row>5</xdr:row>
      <xdr:rowOff>135255</xdr:rowOff>
    </xdr:to>
    <xdr:sp macro="" textlink="">
      <xdr:nvSpPr>
        <xdr:cNvPr id="47765" name="2">
          <a:extLst>
            <a:ext uri="{FF2B5EF4-FFF2-40B4-BE49-F238E27FC236}">
              <a16:creationId xmlns:a16="http://schemas.microsoft.com/office/drawing/2014/main" id="{46175C8F-1CCF-5AB4-C82D-EDD5DA79FB8F}"/>
            </a:ext>
          </a:extLst>
        </xdr:cNvPr>
        <xdr:cNvSpPr/>
      </xdr:nvSpPr>
      <xdr:spPr>
        <a:xfrm>
          <a:off x="20495623" y="925830"/>
          <a:ext cx="22878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5</xdr:row>
      <xdr:rowOff>78105</xdr:rowOff>
    </xdr:from>
    <xdr:to>
      <xdr:col>31</xdr:col>
      <xdr:colOff>521698</xdr:colOff>
      <xdr:row>5</xdr:row>
      <xdr:rowOff>78105</xdr:rowOff>
    </xdr:to>
    <xdr:cxnSp macro="">
      <xdr:nvCxnSpPr>
        <xdr:cNvPr id="47766" name="직선 화살표 연결선 47765">
          <a:extLst>
            <a:ext uri="{FF2B5EF4-FFF2-40B4-BE49-F238E27FC236}">
              <a16:creationId xmlns:a16="http://schemas.microsoft.com/office/drawing/2014/main" id="{22045FE7-27A0-A13C-935B-CF0743B6684F}"/>
            </a:ext>
          </a:extLst>
        </xdr:cNvPr>
        <xdr:cNvCxnSpPr/>
      </xdr:nvCxnSpPr>
      <xdr:spPr>
        <a:xfrm>
          <a:off x="20495623" y="98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4</xdr:row>
      <xdr:rowOff>20955</xdr:rowOff>
    </xdr:from>
    <xdr:to>
      <xdr:col>32</xdr:col>
      <xdr:colOff>0</xdr:colOff>
      <xdr:row>4</xdr:row>
      <xdr:rowOff>135255</xdr:rowOff>
    </xdr:to>
    <xdr:sp macro="" textlink="">
      <xdr:nvSpPr>
        <xdr:cNvPr id="47767" name="1">
          <a:extLst>
            <a:ext uri="{FF2B5EF4-FFF2-40B4-BE49-F238E27FC236}">
              <a16:creationId xmlns:a16="http://schemas.microsoft.com/office/drawing/2014/main" id="{B0BB9AA1-574F-1F91-EBC7-9C3D95700C2B}"/>
            </a:ext>
          </a:extLst>
        </xdr:cNvPr>
        <xdr:cNvSpPr/>
      </xdr:nvSpPr>
      <xdr:spPr>
        <a:xfrm>
          <a:off x="20495623" y="77343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4</xdr:row>
      <xdr:rowOff>78105</xdr:rowOff>
    </xdr:from>
    <xdr:to>
      <xdr:col>31</xdr:col>
      <xdr:colOff>521698</xdr:colOff>
      <xdr:row>4</xdr:row>
      <xdr:rowOff>78105</xdr:rowOff>
    </xdr:to>
    <xdr:cxnSp macro="">
      <xdr:nvCxnSpPr>
        <xdr:cNvPr id="47768" name="직선 화살표 연결선 47767">
          <a:extLst>
            <a:ext uri="{FF2B5EF4-FFF2-40B4-BE49-F238E27FC236}">
              <a16:creationId xmlns:a16="http://schemas.microsoft.com/office/drawing/2014/main" id="{BD0BB4B5-A91F-95B9-C01F-F4811CF0920F}"/>
            </a:ext>
          </a:extLst>
        </xdr:cNvPr>
        <xdr:cNvCxnSpPr/>
      </xdr:nvCxnSpPr>
      <xdr:spPr>
        <a:xfrm>
          <a:off x="20495623" y="83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77</xdr:row>
      <xdr:rowOff>9525</xdr:rowOff>
    </xdr:from>
    <xdr:to>
      <xdr:col>32</xdr:col>
      <xdr:colOff>0</xdr:colOff>
      <xdr:row>77</xdr:row>
      <xdr:rowOff>123825</xdr:rowOff>
    </xdr:to>
    <xdr:sp macro="" textlink="">
      <xdr:nvSpPr>
        <xdr:cNvPr id="47779" name="68">
          <a:extLst>
            <a:ext uri="{FF2B5EF4-FFF2-40B4-BE49-F238E27FC236}">
              <a16:creationId xmlns:a16="http://schemas.microsoft.com/office/drawing/2014/main" id="{F44D3100-9057-E7A0-F53D-ADCC54569FB2}"/>
            </a:ext>
          </a:extLst>
        </xdr:cNvPr>
        <xdr:cNvSpPr/>
      </xdr:nvSpPr>
      <xdr:spPr>
        <a:xfrm>
          <a:off x="20495623" y="11639550"/>
          <a:ext cx="68380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77</xdr:row>
      <xdr:rowOff>66675</xdr:rowOff>
    </xdr:from>
    <xdr:to>
      <xdr:col>31</xdr:col>
      <xdr:colOff>521698</xdr:colOff>
      <xdr:row>77</xdr:row>
      <xdr:rowOff>66675</xdr:rowOff>
    </xdr:to>
    <xdr:cxnSp macro="">
      <xdr:nvCxnSpPr>
        <xdr:cNvPr id="47780" name="직선 화살표 연결선 47779">
          <a:extLst>
            <a:ext uri="{FF2B5EF4-FFF2-40B4-BE49-F238E27FC236}">
              <a16:creationId xmlns:a16="http://schemas.microsoft.com/office/drawing/2014/main" id="{18258FE1-C80E-035D-064B-325AC669637A}"/>
            </a:ext>
          </a:extLst>
        </xdr:cNvPr>
        <xdr:cNvCxnSpPr/>
      </xdr:nvCxnSpPr>
      <xdr:spPr>
        <a:xfrm>
          <a:off x="20495623" y="116967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76</xdr:row>
      <xdr:rowOff>9525</xdr:rowOff>
    </xdr:from>
    <xdr:to>
      <xdr:col>32</xdr:col>
      <xdr:colOff>0</xdr:colOff>
      <xdr:row>76</xdr:row>
      <xdr:rowOff>123825</xdr:rowOff>
    </xdr:to>
    <xdr:sp macro="" textlink="">
      <xdr:nvSpPr>
        <xdr:cNvPr id="47781" name="67">
          <a:extLst>
            <a:ext uri="{FF2B5EF4-FFF2-40B4-BE49-F238E27FC236}">
              <a16:creationId xmlns:a16="http://schemas.microsoft.com/office/drawing/2014/main" id="{28C25A2A-C90C-E483-2517-8DAC0A42C71F}"/>
            </a:ext>
          </a:extLst>
        </xdr:cNvPr>
        <xdr:cNvSpPr/>
      </xdr:nvSpPr>
      <xdr:spPr>
        <a:xfrm>
          <a:off x="20495623" y="1148715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76</xdr:row>
      <xdr:rowOff>66675</xdr:rowOff>
    </xdr:from>
    <xdr:to>
      <xdr:col>31</xdr:col>
      <xdr:colOff>521698</xdr:colOff>
      <xdr:row>76</xdr:row>
      <xdr:rowOff>66675</xdr:rowOff>
    </xdr:to>
    <xdr:cxnSp macro="">
      <xdr:nvCxnSpPr>
        <xdr:cNvPr id="47782" name="직선 화살표 연결선 47781">
          <a:extLst>
            <a:ext uri="{FF2B5EF4-FFF2-40B4-BE49-F238E27FC236}">
              <a16:creationId xmlns:a16="http://schemas.microsoft.com/office/drawing/2014/main" id="{63E10999-07F3-975C-F0AB-1C5E991A3D8E}"/>
            </a:ext>
          </a:extLst>
        </xdr:cNvPr>
        <xdr:cNvCxnSpPr/>
      </xdr:nvCxnSpPr>
      <xdr:spPr>
        <a:xfrm>
          <a:off x="20495623" y="115443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63</xdr:row>
      <xdr:rowOff>121920</xdr:rowOff>
    </xdr:from>
    <xdr:to>
      <xdr:col>32</xdr:col>
      <xdr:colOff>0</xdr:colOff>
      <xdr:row>63</xdr:row>
      <xdr:rowOff>236220</xdr:rowOff>
    </xdr:to>
    <xdr:sp macro="" textlink="">
      <xdr:nvSpPr>
        <xdr:cNvPr id="47807" name="54">
          <a:extLst>
            <a:ext uri="{FF2B5EF4-FFF2-40B4-BE49-F238E27FC236}">
              <a16:creationId xmlns:a16="http://schemas.microsoft.com/office/drawing/2014/main" id="{DD461AB9-97FB-FC91-6749-8BD9C791BF4B}"/>
            </a:ext>
          </a:extLst>
        </xdr:cNvPr>
        <xdr:cNvSpPr/>
      </xdr:nvSpPr>
      <xdr:spPr>
        <a:xfrm>
          <a:off x="20495623" y="913257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63</xdr:row>
      <xdr:rowOff>179070</xdr:rowOff>
    </xdr:from>
    <xdr:to>
      <xdr:col>31</xdr:col>
      <xdr:colOff>521698</xdr:colOff>
      <xdr:row>63</xdr:row>
      <xdr:rowOff>179070</xdr:rowOff>
    </xdr:to>
    <xdr:cxnSp macro="">
      <xdr:nvCxnSpPr>
        <xdr:cNvPr id="47808" name="직선 화살표 연결선 47807">
          <a:extLst>
            <a:ext uri="{FF2B5EF4-FFF2-40B4-BE49-F238E27FC236}">
              <a16:creationId xmlns:a16="http://schemas.microsoft.com/office/drawing/2014/main" id="{401A8A65-30B7-04AA-8712-F977A79621F5}"/>
            </a:ext>
          </a:extLst>
        </xdr:cNvPr>
        <xdr:cNvCxnSpPr/>
      </xdr:nvCxnSpPr>
      <xdr:spPr>
        <a:xfrm>
          <a:off x="20495623" y="91897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16</xdr:row>
      <xdr:rowOff>20955</xdr:rowOff>
    </xdr:from>
    <xdr:to>
      <xdr:col>32</xdr:col>
      <xdr:colOff>0</xdr:colOff>
      <xdr:row>16</xdr:row>
      <xdr:rowOff>135255</xdr:rowOff>
    </xdr:to>
    <xdr:sp macro="" textlink="">
      <xdr:nvSpPr>
        <xdr:cNvPr id="47889" name="13">
          <a:extLst>
            <a:ext uri="{FF2B5EF4-FFF2-40B4-BE49-F238E27FC236}">
              <a16:creationId xmlns:a16="http://schemas.microsoft.com/office/drawing/2014/main" id="{F00B412C-0E29-CD6D-F2C5-7A28D489E38F}"/>
            </a:ext>
          </a:extLst>
        </xdr:cNvPr>
        <xdr:cNvSpPr/>
      </xdr:nvSpPr>
      <xdr:spPr>
        <a:xfrm>
          <a:off x="20495623" y="26022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16</xdr:row>
      <xdr:rowOff>78105</xdr:rowOff>
    </xdr:from>
    <xdr:to>
      <xdr:col>31</xdr:col>
      <xdr:colOff>521698</xdr:colOff>
      <xdr:row>16</xdr:row>
      <xdr:rowOff>78105</xdr:rowOff>
    </xdr:to>
    <xdr:cxnSp macro="">
      <xdr:nvCxnSpPr>
        <xdr:cNvPr id="47890" name="직선 화살표 연결선 47889">
          <a:extLst>
            <a:ext uri="{FF2B5EF4-FFF2-40B4-BE49-F238E27FC236}">
              <a16:creationId xmlns:a16="http://schemas.microsoft.com/office/drawing/2014/main" id="{8C1A1478-33DC-F554-FEF7-9FE54B0790B7}"/>
            </a:ext>
          </a:extLst>
        </xdr:cNvPr>
        <xdr:cNvCxnSpPr/>
      </xdr:nvCxnSpPr>
      <xdr:spPr>
        <a:xfrm>
          <a:off x="20495623" y="265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15</xdr:row>
      <xdr:rowOff>20955</xdr:rowOff>
    </xdr:from>
    <xdr:to>
      <xdr:col>32</xdr:col>
      <xdr:colOff>0</xdr:colOff>
      <xdr:row>15</xdr:row>
      <xdr:rowOff>135255</xdr:rowOff>
    </xdr:to>
    <xdr:sp macro="" textlink="">
      <xdr:nvSpPr>
        <xdr:cNvPr id="47891" name="12">
          <a:extLst>
            <a:ext uri="{FF2B5EF4-FFF2-40B4-BE49-F238E27FC236}">
              <a16:creationId xmlns:a16="http://schemas.microsoft.com/office/drawing/2014/main" id="{8F9B71DF-6B71-E94F-F8D7-47C19793B5E0}"/>
            </a:ext>
          </a:extLst>
        </xdr:cNvPr>
        <xdr:cNvSpPr/>
      </xdr:nvSpPr>
      <xdr:spPr>
        <a:xfrm>
          <a:off x="20495623" y="2449830"/>
          <a:ext cx="39424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15</xdr:row>
      <xdr:rowOff>78105</xdr:rowOff>
    </xdr:from>
    <xdr:to>
      <xdr:col>31</xdr:col>
      <xdr:colOff>521698</xdr:colOff>
      <xdr:row>15</xdr:row>
      <xdr:rowOff>78105</xdr:rowOff>
    </xdr:to>
    <xdr:cxnSp macro="">
      <xdr:nvCxnSpPr>
        <xdr:cNvPr id="47892" name="직선 화살표 연결선 47891">
          <a:extLst>
            <a:ext uri="{FF2B5EF4-FFF2-40B4-BE49-F238E27FC236}">
              <a16:creationId xmlns:a16="http://schemas.microsoft.com/office/drawing/2014/main" id="{8EB28B7E-2E75-2114-5E86-F18FF09A6B3C}"/>
            </a:ext>
          </a:extLst>
        </xdr:cNvPr>
        <xdr:cNvCxnSpPr/>
      </xdr:nvCxnSpPr>
      <xdr:spPr>
        <a:xfrm>
          <a:off x="20495623" y="250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14</xdr:row>
      <xdr:rowOff>20955</xdr:rowOff>
    </xdr:from>
    <xdr:to>
      <xdr:col>32</xdr:col>
      <xdr:colOff>0</xdr:colOff>
      <xdr:row>14</xdr:row>
      <xdr:rowOff>135255</xdr:rowOff>
    </xdr:to>
    <xdr:sp macro="" textlink="">
      <xdr:nvSpPr>
        <xdr:cNvPr id="47893" name="11">
          <a:extLst>
            <a:ext uri="{FF2B5EF4-FFF2-40B4-BE49-F238E27FC236}">
              <a16:creationId xmlns:a16="http://schemas.microsoft.com/office/drawing/2014/main" id="{BCE43B44-08EC-A8F7-6CA1-3129D30E8C68}"/>
            </a:ext>
          </a:extLst>
        </xdr:cNvPr>
        <xdr:cNvSpPr/>
      </xdr:nvSpPr>
      <xdr:spPr>
        <a:xfrm>
          <a:off x="20495623" y="2297430"/>
          <a:ext cx="9733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14</xdr:row>
      <xdr:rowOff>78105</xdr:rowOff>
    </xdr:from>
    <xdr:to>
      <xdr:col>31</xdr:col>
      <xdr:colOff>521698</xdr:colOff>
      <xdr:row>14</xdr:row>
      <xdr:rowOff>78105</xdr:rowOff>
    </xdr:to>
    <xdr:cxnSp macro="">
      <xdr:nvCxnSpPr>
        <xdr:cNvPr id="47894" name="직선 화살표 연결선 47893">
          <a:extLst>
            <a:ext uri="{FF2B5EF4-FFF2-40B4-BE49-F238E27FC236}">
              <a16:creationId xmlns:a16="http://schemas.microsoft.com/office/drawing/2014/main" id="{EF1DED78-383B-3553-29AD-E36E41AC0E6B}"/>
            </a:ext>
          </a:extLst>
        </xdr:cNvPr>
        <xdr:cNvCxnSpPr/>
      </xdr:nvCxnSpPr>
      <xdr:spPr>
        <a:xfrm>
          <a:off x="20495623" y="235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10</xdr:row>
      <xdr:rowOff>20955</xdr:rowOff>
    </xdr:from>
    <xdr:to>
      <xdr:col>32</xdr:col>
      <xdr:colOff>0</xdr:colOff>
      <xdr:row>10</xdr:row>
      <xdr:rowOff>135255</xdr:rowOff>
    </xdr:to>
    <xdr:sp macro="" textlink="">
      <xdr:nvSpPr>
        <xdr:cNvPr id="47901" name="7">
          <a:extLst>
            <a:ext uri="{FF2B5EF4-FFF2-40B4-BE49-F238E27FC236}">
              <a16:creationId xmlns:a16="http://schemas.microsoft.com/office/drawing/2014/main" id="{3174E456-92D5-78EA-0754-4DD791F93610}"/>
            </a:ext>
          </a:extLst>
        </xdr:cNvPr>
        <xdr:cNvSpPr/>
      </xdr:nvSpPr>
      <xdr:spPr>
        <a:xfrm>
          <a:off x="20495623" y="1687830"/>
          <a:ext cx="31450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10</xdr:row>
      <xdr:rowOff>78105</xdr:rowOff>
    </xdr:from>
    <xdr:to>
      <xdr:col>31</xdr:col>
      <xdr:colOff>521698</xdr:colOff>
      <xdr:row>10</xdr:row>
      <xdr:rowOff>78105</xdr:rowOff>
    </xdr:to>
    <xdr:cxnSp macro="">
      <xdr:nvCxnSpPr>
        <xdr:cNvPr id="47902" name="직선 화살표 연결선 47901">
          <a:extLst>
            <a:ext uri="{FF2B5EF4-FFF2-40B4-BE49-F238E27FC236}">
              <a16:creationId xmlns:a16="http://schemas.microsoft.com/office/drawing/2014/main" id="{6F12B090-3E83-D03C-50A0-F6ECE4306300}"/>
            </a:ext>
          </a:extLst>
        </xdr:cNvPr>
        <xdr:cNvCxnSpPr/>
      </xdr:nvCxnSpPr>
      <xdr:spPr>
        <a:xfrm>
          <a:off x="20495623" y="174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9</xdr:row>
      <xdr:rowOff>20955</xdr:rowOff>
    </xdr:from>
    <xdr:to>
      <xdr:col>32</xdr:col>
      <xdr:colOff>0</xdr:colOff>
      <xdr:row>9</xdr:row>
      <xdr:rowOff>135255</xdr:rowOff>
    </xdr:to>
    <xdr:sp macro="" textlink="">
      <xdr:nvSpPr>
        <xdr:cNvPr id="47903" name="6">
          <a:extLst>
            <a:ext uri="{FF2B5EF4-FFF2-40B4-BE49-F238E27FC236}">
              <a16:creationId xmlns:a16="http://schemas.microsoft.com/office/drawing/2014/main" id="{B0B272F4-279E-AF4F-26BE-524C80546375}"/>
            </a:ext>
          </a:extLst>
        </xdr:cNvPr>
        <xdr:cNvSpPr/>
      </xdr:nvSpPr>
      <xdr:spPr>
        <a:xfrm>
          <a:off x="20495623" y="1535430"/>
          <a:ext cx="31450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9</xdr:row>
      <xdr:rowOff>78105</xdr:rowOff>
    </xdr:from>
    <xdr:to>
      <xdr:col>31</xdr:col>
      <xdr:colOff>521698</xdr:colOff>
      <xdr:row>9</xdr:row>
      <xdr:rowOff>78105</xdr:rowOff>
    </xdr:to>
    <xdr:cxnSp macro="">
      <xdr:nvCxnSpPr>
        <xdr:cNvPr id="47904" name="직선 화살표 연결선 47903">
          <a:extLst>
            <a:ext uri="{FF2B5EF4-FFF2-40B4-BE49-F238E27FC236}">
              <a16:creationId xmlns:a16="http://schemas.microsoft.com/office/drawing/2014/main" id="{A770553B-C636-5054-1B0E-ECDEF29F883A}"/>
            </a:ext>
          </a:extLst>
        </xdr:cNvPr>
        <xdr:cNvCxnSpPr/>
      </xdr:nvCxnSpPr>
      <xdr:spPr>
        <a:xfrm>
          <a:off x="20495623" y="159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8</xdr:row>
      <xdr:rowOff>20955</xdr:rowOff>
    </xdr:from>
    <xdr:to>
      <xdr:col>32</xdr:col>
      <xdr:colOff>0</xdr:colOff>
      <xdr:row>8</xdr:row>
      <xdr:rowOff>135255</xdr:rowOff>
    </xdr:to>
    <xdr:sp macro="" textlink="">
      <xdr:nvSpPr>
        <xdr:cNvPr id="47905" name="5">
          <a:extLst>
            <a:ext uri="{FF2B5EF4-FFF2-40B4-BE49-F238E27FC236}">
              <a16:creationId xmlns:a16="http://schemas.microsoft.com/office/drawing/2014/main" id="{442361AE-E7CE-1CD5-BE8B-2EF4073E5CD2}"/>
            </a:ext>
          </a:extLst>
        </xdr:cNvPr>
        <xdr:cNvSpPr/>
      </xdr:nvSpPr>
      <xdr:spPr>
        <a:xfrm>
          <a:off x="20495623" y="138303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8</xdr:row>
      <xdr:rowOff>78105</xdr:rowOff>
    </xdr:from>
    <xdr:to>
      <xdr:col>31</xdr:col>
      <xdr:colOff>521698</xdr:colOff>
      <xdr:row>8</xdr:row>
      <xdr:rowOff>78105</xdr:rowOff>
    </xdr:to>
    <xdr:cxnSp macro="">
      <xdr:nvCxnSpPr>
        <xdr:cNvPr id="47906" name="직선 화살표 연결선 47905">
          <a:extLst>
            <a:ext uri="{FF2B5EF4-FFF2-40B4-BE49-F238E27FC236}">
              <a16:creationId xmlns:a16="http://schemas.microsoft.com/office/drawing/2014/main" id="{1E571E50-EBB3-B647-86A3-2F42152FC1EA}"/>
            </a:ext>
          </a:extLst>
        </xdr:cNvPr>
        <xdr:cNvCxnSpPr/>
      </xdr:nvCxnSpPr>
      <xdr:spPr>
        <a:xfrm>
          <a:off x="20495623" y="144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6</xdr:row>
      <xdr:rowOff>20955</xdr:rowOff>
    </xdr:from>
    <xdr:to>
      <xdr:col>32</xdr:col>
      <xdr:colOff>0</xdr:colOff>
      <xdr:row>6</xdr:row>
      <xdr:rowOff>135255</xdr:rowOff>
    </xdr:to>
    <xdr:sp macro="" textlink="">
      <xdr:nvSpPr>
        <xdr:cNvPr id="47909" name="3">
          <a:extLst>
            <a:ext uri="{FF2B5EF4-FFF2-40B4-BE49-F238E27FC236}">
              <a16:creationId xmlns:a16="http://schemas.microsoft.com/office/drawing/2014/main" id="{49A16FEE-C5CA-E50F-9895-531D8C32AF3E}"/>
            </a:ext>
          </a:extLst>
        </xdr:cNvPr>
        <xdr:cNvSpPr/>
      </xdr:nvSpPr>
      <xdr:spPr>
        <a:xfrm>
          <a:off x="20495623" y="1078230"/>
          <a:ext cx="2080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6</xdr:row>
      <xdr:rowOff>78105</xdr:rowOff>
    </xdr:from>
    <xdr:to>
      <xdr:col>31</xdr:col>
      <xdr:colOff>521698</xdr:colOff>
      <xdr:row>6</xdr:row>
      <xdr:rowOff>78105</xdr:rowOff>
    </xdr:to>
    <xdr:cxnSp macro="">
      <xdr:nvCxnSpPr>
        <xdr:cNvPr id="47910" name="직선 화살표 연결선 47909">
          <a:extLst>
            <a:ext uri="{FF2B5EF4-FFF2-40B4-BE49-F238E27FC236}">
              <a16:creationId xmlns:a16="http://schemas.microsoft.com/office/drawing/2014/main" id="{64C6A0C2-5CC6-28CF-3ED0-82BCEA51C217}"/>
            </a:ext>
          </a:extLst>
        </xdr:cNvPr>
        <xdr:cNvCxnSpPr/>
      </xdr:nvCxnSpPr>
      <xdr:spPr>
        <a:xfrm>
          <a:off x="20495623" y="113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5</xdr:row>
      <xdr:rowOff>20955</xdr:rowOff>
    </xdr:from>
    <xdr:to>
      <xdr:col>32</xdr:col>
      <xdr:colOff>0</xdr:colOff>
      <xdr:row>5</xdr:row>
      <xdr:rowOff>135255</xdr:rowOff>
    </xdr:to>
    <xdr:sp macro="" textlink="">
      <xdr:nvSpPr>
        <xdr:cNvPr id="47911" name="2">
          <a:extLst>
            <a:ext uri="{FF2B5EF4-FFF2-40B4-BE49-F238E27FC236}">
              <a16:creationId xmlns:a16="http://schemas.microsoft.com/office/drawing/2014/main" id="{EE29DC6E-377F-9559-F1E9-89489117D624}"/>
            </a:ext>
          </a:extLst>
        </xdr:cNvPr>
        <xdr:cNvSpPr/>
      </xdr:nvSpPr>
      <xdr:spPr>
        <a:xfrm>
          <a:off x="20495623" y="925830"/>
          <a:ext cx="22878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5</xdr:row>
      <xdr:rowOff>78105</xdr:rowOff>
    </xdr:from>
    <xdr:to>
      <xdr:col>31</xdr:col>
      <xdr:colOff>521698</xdr:colOff>
      <xdr:row>5</xdr:row>
      <xdr:rowOff>78105</xdr:rowOff>
    </xdr:to>
    <xdr:cxnSp macro="">
      <xdr:nvCxnSpPr>
        <xdr:cNvPr id="47912" name="직선 화살표 연결선 47911">
          <a:extLst>
            <a:ext uri="{FF2B5EF4-FFF2-40B4-BE49-F238E27FC236}">
              <a16:creationId xmlns:a16="http://schemas.microsoft.com/office/drawing/2014/main" id="{263EC99F-6A94-72FD-68F6-258336A3FC50}"/>
            </a:ext>
          </a:extLst>
        </xdr:cNvPr>
        <xdr:cNvCxnSpPr/>
      </xdr:nvCxnSpPr>
      <xdr:spPr>
        <a:xfrm>
          <a:off x="20495623" y="98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4</xdr:row>
      <xdr:rowOff>20955</xdr:rowOff>
    </xdr:from>
    <xdr:to>
      <xdr:col>32</xdr:col>
      <xdr:colOff>0</xdr:colOff>
      <xdr:row>4</xdr:row>
      <xdr:rowOff>135255</xdr:rowOff>
    </xdr:to>
    <xdr:sp macro="" textlink="">
      <xdr:nvSpPr>
        <xdr:cNvPr id="47913" name="1">
          <a:extLst>
            <a:ext uri="{FF2B5EF4-FFF2-40B4-BE49-F238E27FC236}">
              <a16:creationId xmlns:a16="http://schemas.microsoft.com/office/drawing/2014/main" id="{63D2A310-3F30-62E8-ED9D-DEA6600A04C8}"/>
            </a:ext>
          </a:extLst>
        </xdr:cNvPr>
        <xdr:cNvSpPr/>
      </xdr:nvSpPr>
      <xdr:spPr>
        <a:xfrm>
          <a:off x="20495623" y="77343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4</xdr:row>
      <xdr:rowOff>78105</xdr:rowOff>
    </xdr:from>
    <xdr:to>
      <xdr:col>31</xdr:col>
      <xdr:colOff>521698</xdr:colOff>
      <xdr:row>4</xdr:row>
      <xdr:rowOff>78105</xdr:rowOff>
    </xdr:to>
    <xdr:cxnSp macro="">
      <xdr:nvCxnSpPr>
        <xdr:cNvPr id="47914" name="직선 화살표 연결선 47913">
          <a:extLst>
            <a:ext uri="{FF2B5EF4-FFF2-40B4-BE49-F238E27FC236}">
              <a16:creationId xmlns:a16="http://schemas.microsoft.com/office/drawing/2014/main" id="{5A6DCBD7-7758-8910-5220-A74D4A41C443}"/>
            </a:ext>
          </a:extLst>
        </xdr:cNvPr>
        <xdr:cNvCxnSpPr/>
      </xdr:nvCxnSpPr>
      <xdr:spPr>
        <a:xfrm>
          <a:off x="20495623" y="83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77</xdr:row>
      <xdr:rowOff>9525</xdr:rowOff>
    </xdr:from>
    <xdr:to>
      <xdr:col>32</xdr:col>
      <xdr:colOff>0</xdr:colOff>
      <xdr:row>77</xdr:row>
      <xdr:rowOff>123825</xdr:rowOff>
    </xdr:to>
    <xdr:sp macro="" textlink="">
      <xdr:nvSpPr>
        <xdr:cNvPr id="47925" name="68">
          <a:extLst>
            <a:ext uri="{FF2B5EF4-FFF2-40B4-BE49-F238E27FC236}">
              <a16:creationId xmlns:a16="http://schemas.microsoft.com/office/drawing/2014/main" id="{36B53537-4F52-74E7-5A68-46310ADAA470}"/>
            </a:ext>
          </a:extLst>
        </xdr:cNvPr>
        <xdr:cNvSpPr/>
      </xdr:nvSpPr>
      <xdr:spPr>
        <a:xfrm>
          <a:off x="20495623" y="11639550"/>
          <a:ext cx="68380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77</xdr:row>
      <xdr:rowOff>66675</xdr:rowOff>
    </xdr:from>
    <xdr:to>
      <xdr:col>31</xdr:col>
      <xdr:colOff>521698</xdr:colOff>
      <xdr:row>77</xdr:row>
      <xdr:rowOff>66675</xdr:rowOff>
    </xdr:to>
    <xdr:cxnSp macro="">
      <xdr:nvCxnSpPr>
        <xdr:cNvPr id="47926" name="직선 화살표 연결선 47925">
          <a:extLst>
            <a:ext uri="{FF2B5EF4-FFF2-40B4-BE49-F238E27FC236}">
              <a16:creationId xmlns:a16="http://schemas.microsoft.com/office/drawing/2014/main" id="{B36A8473-1FFD-0B82-C12C-2397BE85F682}"/>
            </a:ext>
          </a:extLst>
        </xdr:cNvPr>
        <xdr:cNvCxnSpPr/>
      </xdr:nvCxnSpPr>
      <xdr:spPr>
        <a:xfrm>
          <a:off x="20495623" y="116967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76</xdr:row>
      <xdr:rowOff>9525</xdr:rowOff>
    </xdr:from>
    <xdr:to>
      <xdr:col>32</xdr:col>
      <xdr:colOff>0</xdr:colOff>
      <xdr:row>76</xdr:row>
      <xdr:rowOff>123825</xdr:rowOff>
    </xdr:to>
    <xdr:sp macro="" textlink="">
      <xdr:nvSpPr>
        <xdr:cNvPr id="47927" name="67">
          <a:extLst>
            <a:ext uri="{FF2B5EF4-FFF2-40B4-BE49-F238E27FC236}">
              <a16:creationId xmlns:a16="http://schemas.microsoft.com/office/drawing/2014/main" id="{18878DF2-F7BB-DA21-8658-FAA5C0F563E2}"/>
            </a:ext>
          </a:extLst>
        </xdr:cNvPr>
        <xdr:cNvSpPr/>
      </xdr:nvSpPr>
      <xdr:spPr>
        <a:xfrm>
          <a:off x="20495623" y="1148715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76</xdr:row>
      <xdr:rowOff>66675</xdr:rowOff>
    </xdr:from>
    <xdr:to>
      <xdr:col>31</xdr:col>
      <xdr:colOff>521698</xdr:colOff>
      <xdr:row>76</xdr:row>
      <xdr:rowOff>66675</xdr:rowOff>
    </xdr:to>
    <xdr:cxnSp macro="">
      <xdr:nvCxnSpPr>
        <xdr:cNvPr id="47928" name="직선 화살표 연결선 47927">
          <a:extLst>
            <a:ext uri="{FF2B5EF4-FFF2-40B4-BE49-F238E27FC236}">
              <a16:creationId xmlns:a16="http://schemas.microsoft.com/office/drawing/2014/main" id="{152AE790-723C-C20F-F26F-1D8852535838}"/>
            </a:ext>
          </a:extLst>
        </xdr:cNvPr>
        <xdr:cNvCxnSpPr/>
      </xdr:nvCxnSpPr>
      <xdr:spPr>
        <a:xfrm>
          <a:off x="20495623" y="115443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63</xdr:row>
      <xdr:rowOff>121920</xdr:rowOff>
    </xdr:from>
    <xdr:to>
      <xdr:col>32</xdr:col>
      <xdr:colOff>0</xdr:colOff>
      <xdr:row>63</xdr:row>
      <xdr:rowOff>236220</xdr:rowOff>
    </xdr:to>
    <xdr:sp macro="" textlink="">
      <xdr:nvSpPr>
        <xdr:cNvPr id="47953" name="54">
          <a:extLst>
            <a:ext uri="{FF2B5EF4-FFF2-40B4-BE49-F238E27FC236}">
              <a16:creationId xmlns:a16="http://schemas.microsoft.com/office/drawing/2014/main" id="{1AEB3E16-B0CB-45BC-1A5F-8135B4F2956B}"/>
            </a:ext>
          </a:extLst>
        </xdr:cNvPr>
        <xdr:cNvSpPr/>
      </xdr:nvSpPr>
      <xdr:spPr>
        <a:xfrm>
          <a:off x="20495623" y="913257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63</xdr:row>
      <xdr:rowOff>179070</xdr:rowOff>
    </xdr:from>
    <xdr:to>
      <xdr:col>31</xdr:col>
      <xdr:colOff>521698</xdr:colOff>
      <xdr:row>63</xdr:row>
      <xdr:rowOff>179070</xdr:rowOff>
    </xdr:to>
    <xdr:cxnSp macro="">
      <xdr:nvCxnSpPr>
        <xdr:cNvPr id="47954" name="직선 화살표 연결선 47953">
          <a:extLst>
            <a:ext uri="{FF2B5EF4-FFF2-40B4-BE49-F238E27FC236}">
              <a16:creationId xmlns:a16="http://schemas.microsoft.com/office/drawing/2014/main" id="{9D1AA74A-CA1E-AFEF-49D7-5FB448B933E1}"/>
            </a:ext>
          </a:extLst>
        </xdr:cNvPr>
        <xdr:cNvCxnSpPr/>
      </xdr:nvCxnSpPr>
      <xdr:spPr>
        <a:xfrm>
          <a:off x="20495623" y="91897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16</xdr:row>
      <xdr:rowOff>20955</xdr:rowOff>
    </xdr:from>
    <xdr:to>
      <xdr:col>32</xdr:col>
      <xdr:colOff>0</xdr:colOff>
      <xdr:row>16</xdr:row>
      <xdr:rowOff>135255</xdr:rowOff>
    </xdr:to>
    <xdr:sp macro="" textlink="">
      <xdr:nvSpPr>
        <xdr:cNvPr id="48035" name="13">
          <a:extLst>
            <a:ext uri="{FF2B5EF4-FFF2-40B4-BE49-F238E27FC236}">
              <a16:creationId xmlns:a16="http://schemas.microsoft.com/office/drawing/2014/main" id="{ED9F2A1F-2AC6-9137-D808-9CE5D3063CE2}"/>
            </a:ext>
          </a:extLst>
        </xdr:cNvPr>
        <xdr:cNvSpPr/>
      </xdr:nvSpPr>
      <xdr:spPr>
        <a:xfrm>
          <a:off x="20495623" y="26022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16</xdr:row>
      <xdr:rowOff>78105</xdr:rowOff>
    </xdr:from>
    <xdr:to>
      <xdr:col>31</xdr:col>
      <xdr:colOff>521698</xdr:colOff>
      <xdr:row>16</xdr:row>
      <xdr:rowOff>78105</xdr:rowOff>
    </xdr:to>
    <xdr:cxnSp macro="">
      <xdr:nvCxnSpPr>
        <xdr:cNvPr id="48036" name="직선 화살표 연결선 48035">
          <a:extLst>
            <a:ext uri="{FF2B5EF4-FFF2-40B4-BE49-F238E27FC236}">
              <a16:creationId xmlns:a16="http://schemas.microsoft.com/office/drawing/2014/main" id="{3D6A2933-932A-8FCF-FC38-D8B8003979D5}"/>
            </a:ext>
          </a:extLst>
        </xdr:cNvPr>
        <xdr:cNvCxnSpPr/>
      </xdr:nvCxnSpPr>
      <xdr:spPr>
        <a:xfrm>
          <a:off x="20495623" y="265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15</xdr:row>
      <xdr:rowOff>20955</xdr:rowOff>
    </xdr:from>
    <xdr:to>
      <xdr:col>32</xdr:col>
      <xdr:colOff>0</xdr:colOff>
      <xdr:row>15</xdr:row>
      <xdr:rowOff>135255</xdr:rowOff>
    </xdr:to>
    <xdr:sp macro="" textlink="">
      <xdr:nvSpPr>
        <xdr:cNvPr id="48037" name="12">
          <a:extLst>
            <a:ext uri="{FF2B5EF4-FFF2-40B4-BE49-F238E27FC236}">
              <a16:creationId xmlns:a16="http://schemas.microsoft.com/office/drawing/2014/main" id="{72DB99E3-589C-E455-667D-7CF1883DA8AD}"/>
            </a:ext>
          </a:extLst>
        </xdr:cNvPr>
        <xdr:cNvSpPr/>
      </xdr:nvSpPr>
      <xdr:spPr>
        <a:xfrm>
          <a:off x="20495623" y="2449830"/>
          <a:ext cx="39424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15</xdr:row>
      <xdr:rowOff>78105</xdr:rowOff>
    </xdr:from>
    <xdr:to>
      <xdr:col>31</xdr:col>
      <xdr:colOff>521698</xdr:colOff>
      <xdr:row>15</xdr:row>
      <xdr:rowOff>78105</xdr:rowOff>
    </xdr:to>
    <xdr:cxnSp macro="">
      <xdr:nvCxnSpPr>
        <xdr:cNvPr id="48038" name="직선 화살표 연결선 48037">
          <a:extLst>
            <a:ext uri="{FF2B5EF4-FFF2-40B4-BE49-F238E27FC236}">
              <a16:creationId xmlns:a16="http://schemas.microsoft.com/office/drawing/2014/main" id="{FFD78F80-3302-B6A2-2CA9-17B492507916}"/>
            </a:ext>
          </a:extLst>
        </xdr:cNvPr>
        <xdr:cNvCxnSpPr/>
      </xdr:nvCxnSpPr>
      <xdr:spPr>
        <a:xfrm>
          <a:off x="20495623" y="250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14</xdr:row>
      <xdr:rowOff>20955</xdr:rowOff>
    </xdr:from>
    <xdr:to>
      <xdr:col>32</xdr:col>
      <xdr:colOff>0</xdr:colOff>
      <xdr:row>14</xdr:row>
      <xdr:rowOff>135255</xdr:rowOff>
    </xdr:to>
    <xdr:sp macro="" textlink="">
      <xdr:nvSpPr>
        <xdr:cNvPr id="48039" name="11">
          <a:extLst>
            <a:ext uri="{FF2B5EF4-FFF2-40B4-BE49-F238E27FC236}">
              <a16:creationId xmlns:a16="http://schemas.microsoft.com/office/drawing/2014/main" id="{9CBA52FF-DE2F-AA00-03DA-332956128C13}"/>
            </a:ext>
          </a:extLst>
        </xdr:cNvPr>
        <xdr:cNvSpPr/>
      </xdr:nvSpPr>
      <xdr:spPr>
        <a:xfrm>
          <a:off x="20495623" y="2297430"/>
          <a:ext cx="9733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14</xdr:row>
      <xdr:rowOff>78105</xdr:rowOff>
    </xdr:from>
    <xdr:to>
      <xdr:col>31</xdr:col>
      <xdr:colOff>521698</xdr:colOff>
      <xdr:row>14</xdr:row>
      <xdr:rowOff>78105</xdr:rowOff>
    </xdr:to>
    <xdr:cxnSp macro="">
      <xdr:nvCxnSpPr>
        <xdr:cNvPr id="48040" name="직선 화살표 연결선 48039">
          <a:extLst>
            <a:ext uri="{FF2B5EF4-FFF2-40B4-BE49-F238E27FC236}">
              <a16:creationId xmlns:a16="http://schemas.microsoft.com/office/drawing/2014/main" id="{5AAA4DBC-3ADC-0BB0-501E-87C655375635}"/>
            </a:ext>
          </a:extLst>
        </xdr:cNvPr>
        <xdr:cNvCxnSpPr/>
      </xdr:nvCxnSpPr>
      <xdr:spPr>
        <a:xfrm>
          <a:off x="20495623" y="235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10</xdr:row>
      <xdr:rowOff>20955</xdr:rowOff>
    </xdr:from>
    <xdr:to>
      <xdr:col>32</xdr:col>
      <xdr:colOff>0</xdr:colOff>
      <xdr:row>10</xdr:row>
      <xdr:rowOff>135255</xdr:rowOff>
    </xdr:to>
    <xdr:sp macro="" textlink="">
      <xdr:nvSpPr>
        <xdr:cNvPr id="48047" name="7">
          <a:extLst>
            <a:ext uri="{FF2B5EF4-FFF2-40B4-BE49-F238E27FC236}">
              <a16:creationId xmlns:a16="http://schemas.microsoft.com/office/drawing/2014/main" id="{3BB33103-9A18-03B6-CA27-981511BE43E3}"/>
            </a:ext>
          </a:extLst>
        </xdr:cNvPr>
        <xdr:cNvSpPr/>
      </xdr:nvSpPr>
      <xdr:spPr>
        <a:xfrm>
          <a:off x="20495623" y="1687830"/>
          <a:ext cx="31450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10</xdr:row>
      <xdr:rowOff>78105</xdr:rowOff>
    </xdr:from>
    <xdr:to>
      <xdr:col>31</xdr:col>
      <xdr:colOff>521698</xdr:colOff>
      <xdr:row>10</xdr:row>
      <xdr:rowOff>78105</xdr:rowOff>
    </xdr:to>
    <xdr:cxnSp macro="">
      <xdr:nvCxnSpPr>
        <xdr:cNvPr id="48048" name="직선 화살표 연결선 48047">
          <a:extLst>
            <a:ext uri="{FF2B5EF4-FFF2-40B4-BE49-F238E27FC236}">
              <a16:creationId xmlns:a16="http://schemas.microsoft.com/office/drawing/2014/main" id="{AD5E7958-21D9-DACD-91BA-3A19FEB03B21}"/>
            </a:ext>
          </a:extLst>
        </xdr:cNvPr>
        <xdr:cNvCxnSpPr/>
      </xdr:nvCxnSpPr>
      <xdr:spPr>
        <a:xfrm>
          <a:off x="20495623" y="174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9</xdr:row>
      <xdr:rowOff>20955</xdr:rowOff>
    </xdr:from>
    <xdr:to>
      <xdr:col>32</xdr:col>
      <xdr:colOff>0</xdr:colOff>
      <xdr:row>9</xdr:row>
      <xdr:rowOff>135255</xdr:rowOff>
    </xdr:to>
    <xdr:sp macro="" textlink="">
      <xdr:nvSpPr>
        <xdr:cNvPr id="48049" name="6">
          <a:extLst>
            <a:ext uri="{FF2B5EF4-FFF2-40B4-BE49-F238E27FC236}">
              <a16:creationId xmlns:a16="http://schemas.microsoft.com/office/drawing/2014/main" id="{926BCB54-B813-57A0-041E-936FD0AF8589}"/>
            </a:ext>
          </a:extLst>
        </xdr:cNvPr>
        <xdr:cNvSpPr/>
      </xdr:nvSpPr>
      <xdr:spPr>
        <a:xfrm>
          <a:off x="20495623" y="1535430"/>
          <a:ext cx="31450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9</xdr:row>
      <xdr:rowOff>78105</xdr:rowOff>
    </xdr:from>
    <xdr:to>
      <xdr:col>31</xdr:col>
      <xdr:colOff>521698</xdr:colOff>
      <xdr:row>9</xdr:row>
      <xdr:rowOff>78105</xdr:rowOff>
    </xdr:to>
    <xdr:cxnSp macro="">
      <xdr:nvCxnSpPr>
        <xdr:cNvPr id="48050" name="직선 화살표 연결선 48049">
          <a:extLst>
            <a:ext uri="{FF2B5EF4-FFF2-40B4-BE49-F238E27FC236}">
              <a16:creationId xmlns:a16="http://schemas.microsoft.com/office/drawing/2014/main" id="{C377F152-5E07-27EE-02F8-6ADC55FD2B93}"/>
            </a:ext>
          </a:extLst>
        </xdr:cNvPr>
        <xdr:cNvCxnSpPr/>
      </xdr:nvCxnSpPr>
      <xdr:spPr>
        <a:xfrm>
          <a:off x="20495623" y="159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8</xdr:row>
      <xdr:rowOff>20955</xdr:rowOff>
    </xdr:from>
    <xdr:to>
      <xdr:col>32</xdr:col>
      <xdr:colOff>0</xdr:colOff>
      <xdr:row>8</xdr:row>
      <xdr:rowOff>135255</xdr:rowOff>
    </xdr:to>
    <xdr:sp macro="" textlink="">
      <xdr:nvSpPr>
        <xdr:cNvPr id="48051" name="5">
          <a:extLst>
            <a:ext uri="{FF2B5EF4-FFF2-40B4-BE49-F238E27FC236}">
              <a16:creationId xmlns:a16="http://schemas.microsoft.com/office/drawing/2014/main" id="{B98AB7BC-9F56-D89E-D43B-686FDEC67266}"/>
            </a:ext>
          </a:extLst>
        </xdr:cNvPr>
        <xdr:cNvSpPr/>
      </xdr:nvSpPr>
      <xdr:spPr>
        <a:xfrm>
          <a:off x="20495623" y="138303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8</xdr:row>
      <xdr:rowOff>78105</xdr:rowOff>
    </xdr:from>
    <xdr:to>
      <xdr:col>31</xdr:col>
      <xdr:colOff>521698</xdr:colOff>
      <xdr:row>8</xdr:row>
      <xdr:rowOff>78105</xdr:rowOff>
    </xdr:to>
    <xdr:cxnSp macro="">
      <xdr:nvCxnSpPr>
        <xdr:cNvPr id="48052" name="직선 화살표 연결선 48051">
          <a:extLst>
            <a:ext uri="{FF2B5EF4-FFF2-40B4-BE49-F238E27FC236}">
              <a16:creationId xmlns:a16="http://schemas.microsoft.com/office/drawing/2014/main" id="{59A89C50-F2CA-30BB-54CB-920FEF69B4CD}"/>
            </a:ext>
          </a:extLst>
        </xdr:cNvPr>
        <xdr:cNvCxnSpPr/>
      </xdr:nvCxnSpPr>
      <xdr:spPr>
        <a:xfrm>
          <a:off x="20495623" y="144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6</xdr:row>
      <xdr:rowOff>20955</xdr:rowOff>
    </xdr:from>
    <xdr:to>
      <xdr:col>32</xdr:col>
      <xdr:colOff>0</xdr:colOff>
      <xdr:row>6</xdr:row>
      <xdr:rowOff>135255</xdr:rowOff>
    </xdr:to>
    <xdr:sp macro="" textlink="">
      <xdr:nvSpPr>
        <xdr:cNvPr id="48055" name="3">
          <a:extLst>
            <a:ext uri="{FF2B5EF4-FFF2-40B4-BE49-F238E27FC236}">
              <a16:creationId xmlns:a16="http://schemas.microsoft.com/office/drawing/2014/main" id="{65B4F0B5-E3E0-352D-30AF-467BD9C94E29}"/>
            </a:ext>
          </a:extLst>
        </xdr:cNvPr>
        <xdr:cNvSpPr/>
      </xdr:nvSpPr>
      <xdr:spPr>
        <a:xfrm>
          <a:off x="20495623" y="1078230"/>
          <a:ext cx="2080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6</xdr:row>
      <xdr:rowOff>78105</xdr:rowOff>
    </xdr:from>
    <xdr:to>
      <xdr:col>31</xdr:col>
      <xdr:colOff>521698</xdr:colOff>
      <xdr:row>6</xdr:row>
      <xdr:rowOff>78105</xdr:rowOff>
    </xdr:to>
    <xdr:cxnSp macro="">
      <xdr:nvCxnSpPr>
        <xdr:cNvPr id="48056" name="직선 화살표 연결선 48055">
          <a:extLst>
            <a:ext uri="{FF2B5EF4-FFF2-40B4-BE49-F238E27FC236}">
              <a16:creationId xmlns:a16="http://schemas.microsoft.com/office/drawing/2014/main" id="{C150D074-7433-376F-ED6C-1565BDBCE4DC}"/>
            </a:ext>
          </a:extLst>
        </xdr:cNvPr>
        <xdr:cNvCxnSpPr/>
      </xdr:nvCxnSpPr>
      <xdr:spPr>
        <a:xfrm>
          <a:off x="20495623" y="113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5</xdr:row>
      <xdr:rowOff>20955</xdr:rowOff>
    </xdr:from>
    <xdr:to>
      <xdr:col>32</xdr:col>
      <xdr:colOff>0</xdr:colOff>
      <xdr:row>5</xdr:row>
      <xdr:rowOff>135255</xdr:rowOff>
    </xdr:to>
    <xdr:sp macro="" textlink="">
      <xdr:nvSpPr>
        <xdr:cNvPr id="48057" name="2">
          <a:extLst>
            <a:ext uri="{FF2B5EF4-FFF2-40B4-BE49-F238E27FC236}">
              <a16:creationId xmlns:a16="http://schemas.microsoft.com/office/drawing/2014/main" id="{7766DF18-C5AA-718D-3825-A396DCE26379}"/>
            </a:ext>
          </a:extLst>
        </xdr:cNvPr>
        <xdr:cNvSpPr/>
      </xdr:nvSpPr>
      <xdr:spPr>
        <a:xfrm>
          <a:off x="20495623" y="925830"/>
          <a:ext cx="22878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5</xdr:row>
      <xdr:rowOff>78105</xdr:rowOff>
    </xdr:from>
    <xdr:to>
      <xdr:col>31</xdr:col>
      <xdr:colOff>521698</xdr:colOff>
      <xdr:row>5</xdr:row>
      <xdr:rowOff>78105</xdr:rowOff>
    </xdr:to>
    <xdr:cxnSp macro="">
      <xdr:nvCxnSpPr>
        <xdr:cNvPr id="48058" name="직선 화살표 연결선 48057">
          <a:extLst>
            <a:ext uri="{FF2B5EF4-FFF2-40B4-BE49-F238E27FC236}">
              <a16:creationId xmlns:a16="http://schemas.microsoft.com/office/drawing/2014/main" id="{1D51CFB7-7BCF-D786-7268-AD1B46D5398A}"/>
            </a:ext>
          </a:extLst>
        </xdr:cNvPr>
        <xdr:cNvCxnSpPr/>
      </xdr:nvCxnSpPr>
      <xdr:spPr>
        <a:xfrm>
          <a:off x="20495623" y="98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521698</xdr:colOff>
      <xdr:row>4</xdr:row>
      <xdr:rowOff>20955</xdr:rowOff>
    </xdr:from>
    <xdr:to>
      <xdr:col>32</xdr:col>
      <xdr:colOff>0</xdr:colOff>
      <xdr:row>4</xdr:row>
      <xdr:rowOff>135255</xdr:rowOff>
    </xdr:to>
    <xdr:sp macro="" textlink="">
      <xdr:nvSpPr>
        <xdr:cNvPr id="48059" name="1">
          <a:extLst>
            <a:ext uri="{FF2B5EF4-FFF2-40B4-BE49-F238E27FC236}">
              <a16:creationId xmlns:a16="http://schemas.microsoft.com/office/drawing/2014/main" id="{2C5B5D9B-A0B9-9912-A622-A554A079B418}"/>
            </a:ext>
          </a:extLst>
        </xdr:cNvPr>
        <xdr:cNvSpPr/>
      </xdr:nvSpPr>
      <xdr:spPr>
        <a:xfrm>
          <a:off x="20495623" y="77343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521698</xdr:colOff>
      <xdr:row>4</xdr:row>
      <xdr:rowOff>78105</xdr:rowOff>
    </xdr:from>
    <xdr:to>
      <xdr:col>31</xdr:col>
      <xdr:colOff>521698</xdr:colOff>
      <xdr:row>4</xdr:row>
      <xdr:rowOff>78105</xdr:rowOff>
    </xdr:to>
    <xdr:cxnSp macro="">
      <xdr:nvCxnSpPr>
        <xdr:cNvPr id="48060" name="직선 화살표 연결선 48059">
          <a:extLst>
            <a:ext uri="{FF2B5EF4-FFF2-40B4-BE49-F238E27FC236}">
              <a16:creationId xmlns:a16="http://schemas.microsoft.com/office/drawing/2014/main" id="{F65A15B9-83A0-0873-962C-F659DC327C26}"/>
            </a:ext>
          </a:extLst>
        </xdr:cNvPr>
        <xdr:cNvCxnSpPr/>
      </xdr:nvCxnSpPr>
      <xdr:spPr>
        <a:xfrm>
          <a:off x="20495623" y="83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xdr:colOff>
      <xdr:row>3</xdr:row>
      <xdr:rowOff>76073</xdr:rowOff>
    </xdr:from>
    <xdr:to>
      <xdr:col>48</xdr:col>
      <xdr:colOff>1</xdr:colOff>
      <xdr:row>95</xdr:row>
      <xdr:rowOff>1</xdr:rowOff>
    </xdr:to>
    <xdr:cxnSp macro="">
      <xdr:nvCxnSpPr>
        <xdr:cNvPr id="47056" name="직선 화살표 연결선 47055">
          <a:extLst>
            <a:ext uri="{FF2B5EF4-FFF2-40B4-BE49-F238E27FC236}">
              <a16:creationId xmlns:a16="http://schemas.microsoft.com/office/drawing/2014/main" id="{1190D38C-1557-160F-9742-91045C6897D6}"/>
            </a:ext>
          </a:extLst>
        </xdr:cNvPr>
        <xdr:cNvCxnSpPr/>
      </xdr:nvCxnSpPr>
      <xdr:spPr>
        <a:xfrm>
          <a:off x="30464761" y="754253"/>
          <a:ext cx="0" cy="25633808"/>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103414</xdr:colOff>
      <xdr:row>3</xdr:row>
      <xdr:rowOff>76073</xdr:rowOff>
    </xdr:from>
    <xdr:to>
      <xdr:col>52</xdr:col>
      <xdr:colOff>103414</xdr:colOff>
      <xdr:row>95</xdr:row>
      <xdr:rowOff>1</xdr:rowOff>
    </xdr:to>
    <xdr:cxnSp macro="">
      <xdr:nvCxnSpPr>
        <xdr:cNvPr id="47057" name="직선 화살표 연결선 47056">
          <a:extLst>
            <a:ext uri="{FF2B5EF4-FFF2-40B4-BE49-F238E27FC236}">
              <a16:creationId xmlns:a16="http://schemas.microsoft.com/office/drawing/2014/main" id="{22DAC9D5-106D-4A0F-A99E-AB2A2C6A7C50}"/>
            </a:ext>
          </a:extLst>
        </xdr:cNvPr>
        <xdr:cNvCxnSpPr/>
      </xdr:nvCxnSpPr>
      <xdr:spPr>
        <a:xfrm>
          <a:off x="21271774" y="754253"/>
          <a:ext cx="0" cy="25633808"/>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62048</xdr:colOff>
      <xdr:row>94</xdr:row>
      <xdr:rowOff>19051</xdr:rowOff>
    </xdr:from>
    <xdr:to>
      <xdr:col>53</xdr:col>
      <xdr:colOff>84000</xdr:colOff>
      <xdr:row>94</xdr:row>
      <xdr:rowOff>133351</xdr:rowOff>
    </xdr:to>
    <xdr:sp macro="" textlink="">
      <xdr:nvSpPr>
        <xdr:cNvPr id="47058" name="91">
          <a:extLst>
            <a:ext uri="{FF2B5EF4-FFF2-40B4-BE49-F238E27FC236}">
              <a16:creationId xmlns:a16="http://schemas.microsoft.com/office/drawing/2014/main" id="{450B4031-BF38-514D-BC48-DCB35D28DD54}"/>
            </a:ext>
          </a:extLst>
        </xdr:cNvPr>
        <xdr:cNvSpPr/>
      </xdr:nvSpPr>
      <xdr:spPr>
        <a:xfrm>
          <a:off x="21375188" y="26254711"/>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62048</xdr:colOff>
      <xdr:row>94</xdr:row>
      <xdr:rowOff>76201</xdr:rowOff>
    </xdr:from>
    <xdr:to>
      <xdr:col>53</xdr:col>
      <xdr:colOff>62048</xdr:colOff>
      <xdr:row>94</xdr:row>
      <xdr:rowOff>76201</xdr:rowOff>
    </xdr:to>
    <xdr:cxnSp macro="">
      <xdr:nvCxnSpPr>
        <xdr:cNvPr id="47059" name="직선 화살표 연결선 47058">
          <a:extLst>
            <a:ext uri="{FF2B5EF4-FFF2-40B4-BE49-F238E27FC236}">
              <a16:creationId xmlns:a16="http://schemas.microsoft.com/office/drawing/2014/main" id="{E9410116-3E20-7352-2C27-F541A43A7DA2}"/>
            </a:ext>
          </a:extLst>
        </xdr:cNvPr>
        <xdr:cNvCxnSpPr/>
      </xdr:nvCxnSpPr>
      <xdr:spPr>
        <a:xfrm>
          <a:off x="21375188" y="2631186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20683</xdr:colOff>
      <xdr:row>93</xdr:row>
      <xdr:rowOff>19051</xdr:rowOff>
    </xdr:from>
    <xdr:to>
      <xdr:col>52</xdr:col>
      <xdr:colOff>125367</xdr:colOff>
      <xdr:row>93</xdr:row>
      <xdr:rowOff>133351</xdr:rowOff>
    </xdr:to>
    <xdr:sp macro="" textlink="">
      <xdr:nvSpPr>
        <xdr:cNvPr id="47060" name="90">
          <a:extLst>
            <a:ext uri="{FF2B5EF4-FFF2-40B4-BE49-F238E27FC236}">
              <a16:creationId xmlns:a16="http://schemas.microsoft.com/office/drawing/2014/main" id="{1A3B474A-A051-88EB-F3B8-DB54DC33D19F}"/>
            </a:ext>
          </a:extLst>
        </xdr:cNvPr>
        <xdr:cNvSpPr/>
      </xdr:nvSpPr>
      <xdr:spPr>
        <a:xfrm>
          <a:off x="21189043" y="26102311"/>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20683</xdr:colOff>
      <xdr:row>93</xdr:row>
      <xdr:rowOff>76201</xdr:rowOff>
    </xdr:from>
    <xdr:to>
      <xdr:col>52</xdr:col>
      <xdr:colOff>20683</xdr:colOff>
      <xdr:row>93</xdr:row>
      <xdr:rowOff>76201</xdr:rowOff>
    </xdr:to>
    <xdr:cxnSp macro="">
      <xdr:nvCxnSpPr>
        <xdr:cNvPr id="47061" name="직선 화살표 연결선 47060">
          <a:extLst>
            <a:ext uri="{FF2B5EF4-FFF2-40B4-BE49-F238E27FC236}">
              <a16:creationId xmlns:a16="http://schemas.microsoft.com/office/drawing/2014/main" id="{432E6134-36B7-A4F4-0C46-916182D8DB63}"/>
            </a:ext>
          </a:extLst>
        </xdr:cNvPr>
        <xdr:cNvCxnSpPr/>
      </xdr:nvCxnSpPr>
      <xdr:spPr>
        <a:xfrm>
          <a:off x="21189043" y="2615946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20683</xdr:colOff>
      <xdr:row>92</xdr:row>
      <xdr:rowOff>19051</xdr:rowOff>
    </xdr:from>
    <xdr:to>
      <xdr:col>51</xdr:col>
      <xdr:colOff>125366</xdr:colOff>
      <xdr:row>92</xdr:row>
      <xdr:rowOff>133351</xdr:rowOff>
    </xdr:to>
    <xdr:sp macro="" textlink="">
      <xdr:nvSpPr>
        <xdr:cNvPr id="47062" name="89">
          <a:extLst>
            <a:ext uri="{FF2B5EF4-FFF2-40B4-BE49-F238E27FC236}">
              <a16:creationId xmlns:a16="http://schemas.microsoft.com/office/drawing/2014/main" id="{11792F35-4A5A-D76B-2CF8-5B432A0435AB}"/>
            </a:ext>
          </a:extLst>
        </xdr:cNvPr>
        <xdr:cNvSpPr/>
      </xdr:nvSpPr>
      <xdr:spPr>
        <a:xfrm>
          <a:off x="20609923" y="25949911"/>
          <a:ext cx="5390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20683</xdr:colOff>
      <xdr:row>92</xdr:row>
      <xdr:rowOff>76201</xdr:rowOff>
    </xdr:from>
    <xdr:to>
      <xdr:col>48</xdr:col>
      <xdr:colOff>20683</xdr:colOff>
      <xdr:row>92</xdr:row>
      <xdr:rowOff>76201</xdr:rowOff>
    </xdr:to>
    <xdr:cxnSp macro="">
      <xdr:nvCxnSpPr>
        <xdr:cNvPr id="47063" name="직선 화살표 연결선 47062">
          <a:extLst>
            <a:ext uri="{FF2B5EF4-FFF2-40B4-BE49-F238E27FC236}">
              <a16:creationId xmlns:a16="http://schemas.microsoft.com/office/drawing/2014/main" id="{3969B98C-1DC0-851A-06D8-65793C9842E9}"/>
            </a:ext>
          </a:extLst>
        </xdr:cNvPr>
        <xdr:cNvCxnSpPr/>
      </xdr:nvCxnSpPr>
      <xdr:spPr>
        <a:xfrm>
          <a:off x="20609923" y="2600706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20683</xdr:colOff>
      <xdr:row>91</xdr:row>
      <xdr:rowOff>19051</xdr:rowOff>
    </xdr:from>
    <xdr:to>
      <xdr:col>52</xdr:col>
      <xdr:colOff>125367</xdr:colOff>
      <xdr:row>91</xdr:row>
      <xdr:rowOff>133351</xdr:rowOff>
    </xdr:to>
    <xdr:sp macro="" textlink="">
      <xdr:nvSpPr>
        <xdr:cNvPr id="47064" name="88">
          <a:extLst>
            <a:ext uri="{FF2B5EF4-FFF2-40B4-BE49-F238E27FC236}">
              <a16:creationId xmlns:a16="http://schemas.microsoft.com/office/drawing/2014/main" id="{2562AF78-9438-A493-7D40-FA8F6DC8D50D}"/>
            </a:ext>
          </a:extLst>
        </xdr:cNvPr>
        <xdr:cNvSpPr/>
      </xdr:nvSpPr>
      <xdr:spPr>
        <a:xfrm>
          <a:off x="20465143" y="25797511"/>
          <a:ext cx="8285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20683</xdr:colOff>
      <xdr:row>91</xdr:row>
      <xdr:rowOff>76201</xdr:rowOff>
    </xdr:from>
    <xdr:to>
      <xdr:col>47</xdr:col>
      <xdr:colOff>20683</xdr:colOff>
      <xdr:row>91</xdr:row>
      <xdr:rowOff>76201</xdr:rowOff>
    </xdr:to>
    <xdr:cxnSp macro="">
      <xdr:nvCxnSpPr>
        <xdr:cNvPr id="47065" name="직선 화살표 연결선 47064">
          <a:extLst>
            <a:ext uri="{FF2B5EF4-FFF2-40B4-BE49-F238E27FC236}">
              <a16:creationId xmlns:a16="http://schemas.microsoft.com/office/drawing/2014/main" id="{9DA3AA3F-9FA8-6F9F-214D-A5A1F290C756}"/>
            </a:ext>
          </a:extLst>
        </xdr:cNvPr>
        <xdr:cNvCxnSpPr/>
      </xdr:nvCxnSpPr>
      <xdr:spPr>
        <a:xfrm>
          <a:off x="20465143" y="2585466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20683</xdr:colOff>
      <xdr:row>90</xdr:row>
      <xdr:rowOff>19051</xdr:rowOff>
    </xdr:from>
    <xdr:to>
      <xdr:col>53</xdr:col>
      <xdr:colOff>125367</xdr:colOff>
      <xdr:row>90</xdr:row>
      <xdr:rowOff>133351</xdr:rowOff>
    </xdr:to>
    <xdr:sp macro="" textlink="">
      <xdr:nvSpPr>
        <xdr:cNvPr id="47066" name="87">
          <a:extLst>
            <a:ext uri="{FF2B5EF4-FFF2-40B4-BE49-F238E27FC236}">
              <a16:creationId xmlns:a16="http://schemas.microsoft.com/office/drawing/2014/main" id="{AE20CB66-D2F9-D375-1715-D5A317230905}"/>
            </a:ext>
          </a:extLst>
        </xdr:cNvPr>
        <xdr:cNvSpPr/>
      </xdr:nvSpPr>
      <xdr:spPr>
        <a:xfrm>
          <a:off x="21189043" y="25645111"/>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20683</xdr:colOff>
      <xdr:row>90</xdr:row>
      <xdr:rowOff>76201</xdr:rowOff>
    </xdr:from>
    <xdr:to>
      <xdr:col>52</xdr:col>
      <xdr:colOff>20683</xdr:colOff>
      <xdr:row>90</xdr:row>
      <xdr:rowOff>76201</xdr:rowOff>
    </xdr:to>
    <xdr:cxnSp macro="">
      <xdr:nvCxnSpPr>
        <xdr:cNvPr id="47067" name="직선 화살표 연결선 47066">
          <a:extLst>
            <a:ext uri="{FF2B5EF4-FFF2-40B4-BE49-F238E27FC236}">
              <a16:creationId xmlns:a16="http://schemas.microsoft.com/office/drawing/2014/main" id="{811946D8-55F1-5A63-501C-D16ED0BF3542}"/>
            </a:ext>
          </a:extLst>
        </xdr:cNvPr>
        <xdr:cNvCxnSpPr/>
      </xdr:nvCxnSpPr>
      <xdr:spPr>
        <a:xfrm>
          <a:off x="21189043" y="2570226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20683</xdr:colOff>
      <xdr:row>89</xdr:row>
      <xdr:rowOff>19051</xdr:rowOff>
    </xdr:from>
    <xdr:to>
      <xdr:col>51</xdr:col>
      <xdr:colOff>125366</xdr:colOff>
      <xdr:row>89</xdr:row>
      <xdr:rowOff>133351</xdr:rowOff>
    </xdr:to>
    <xdr:sp macro="" textlink="">
      <xdr:nvSpPr>
        <xdr:cNvPr id="47068" name="86">
          <a:extLst>
            <a:ext uri="{FF2B5EF4-FFF2-40B4-BE49-F238E27FC236}">
              <a16:creationId xmlns:a16="http://schemas.microsoft.com/office/drawing/2014/main" id="{2BF68460-E733-6ED1-A1FA-5D7F1F2624FF}"/>
            </a:ext>
          </a:extLst>
        </xdr:cNvPr>
        <xdr:cNvSpPr/>
      </xdr:nvSpPr>
      <xdr:spPr>
        <a:xfrm>
          <a:off x="20609923" y="25492711"/>
          <a:ext cx="5390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20683</xdr:colOff>
      <xdr:row>89</xdr:row>
      <xdr:rowOff>76201</xdr:rowOff>
    </xdr:from>
    <xdr:to>
      <xdr:col>48</xdr:col>
      <xdr:colOff>20683</xdr:colOff>
      <xdr:row>89</xdr:row>
      <xdr:rowOff>76201</xdr:rowOff>
    </xdr:to>
    <xdr:cxnSp macro="">
      <xdr:nvCxnSpPr>
        <xdr:cNvPr id="47069" name="직선 화살표 연결선 47068">
          <a:extLst>
            <a:ext uri="{FF2B5EF4-FFF2-40B4-BE49-F238E27FC236}">
              <a16:creationId xmlns:a16="http://schemas.microsoft.com/office/drawing/2014/main" id="{CACA4A25-7F79-E18D-579D-64354ED730FF}"/>
            </a:ext>
          </a:extLst>
        </xdr:cNvPr>
        <xdr:cNvCxnSpPr/>
      </xdr:nvCxnSpPr>
      <xdr:spPr>
        <a:xfrm>
          <a:off x="20609923" y="2554986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88</xdr:row>
      <xdr:rowOff>19051</xdr:rowOff>
    </xdr:from>
    <xdr:to>
      <xdr:col>49</xdr:col>
      <xdr:colOff>125367</xdr:colOff>
      <xdr:row>88</xdr:row>
      <xdr:rowOff>133351</xdr:rowOff>
    </xdr:to>
    <xdr:sp macro="" textlink="">
      <xdr:nvSpPr>
        <xdr:cNvPr id="47070" name="85">
          <a:extLst>
            <a:ext uri="{FF2B5EF4-FFF2-40B4-BE49-F238E27FC236}">
              <a16:creationId xmlns:a16="http://schemas.microsoft.com/office/drawing/2014/main" id="{B53B02F3-706B-8C4E-C8B6-18D5E240B5D6}"/>
            </a:ext>
          </a:extLst>
        </xdr:cNvPr>
        <xdr:cNvSpPr/>
      </xdr:nvSpPr>
      <xdr:spPr>
        <a:xfrm>
          <a:off x="18872563" y="25340311"/>
          <a:ext cx="19868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88</xdr:row>
      <xdr:rowOff>76201</xdr:rowOff>
    </xdr:from>
    <xdr:to>
      <xdr:col>36</xdr:col>
      <xdr:colOff>20683</xdr:colOff>
      <xdr:row>88</xdr:row>
      <xdr:rowOff>76201</xdr:rowOff>
    </xdr:to>
    <xdr:cxnSp macro="">
      <xdr:nvCxnSpPr>
        <xdr:cNvPr id="47071" name="직선 화살표 연결선 47070">
          <a:extLst>
            <a:ext uri="{FF2B5EF4-FFF2-40B4-BE49-F238E27FC236}">
              <a16:creationId xmlns:a16="http://schemas.microsoft.com/office/drawing/2014/main" id="{0634DF9E-4FBA-01BB-9B80-863ADFD7C4F3}"/>
            </a:ext>
          </a:extLst>
        </xdr:cNvPr>
        <xdr:cNvCxnSpPr/>
      </xdr:nvCxnSpPr>
      <xdr:spPr>
        <a:xfrm>
          <a:off x="18872563" y="2539746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87</xdr:row>
      <xdr:rowOff>19051</xdr:rowOff>
    </xdr:from>
    <xdr:to>
      <xdr:col>47</xdr:col>
      <xdr:colOff>125367</xdr:colOff>
      <xdr:row>87</xdr:row>
      <xdr:rowOff>133351</xdr:rowOff>
    </xdr:to>
    <xdr:sp macro="" textlink="">
      <xdr:nvSpPr>
        <xdr:cNvPr id="47072" name="84">
          <a:extLst>
            <a:ext uri="{FF2B5EF4-FFF2-40B4-BE49-F238E27FC236}">
              <a16:creationId xmlns:a16="http://schemas.microsoft.com/office/drawing/2014/main" id="{0838DD06-6C5D-EBA7-EDC1-04385579208B}"/>
            </a:ext>
          </a:extLst>
        </xdr:cNvPr>
        <xdr:cNvSpPr/>
      </xdr:nvSpPr>
      <xdr:spPr>
        <a:xfrm>
          <a:off x="18458906" y="25187911"/>
          <a:ext cx="211092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87</xdr:row>
      <xdr:rowOff>76201</xdr:rowOff>
    </xdr:from>
    <xdr:to>
      <xdr:col>33</xdr:col>
      <xdr:colOff>41366</xdr:colOff>
      <xdr:row>87</xdr:row>
      <xdr:rowOff>76201</xdr:rowOff>
    </xdr:to>
    <xdr:cxnSp macro="">
      <xdr:nvCxnSpPr>
        <xdr:cNvPr id="47073" name="직선 화살표 연결선 47072">
          <a:extLst>
            <a:ext uri="{FF2B5EF4-FFF2-40B4-BE49-F238E27FC236}">
              <a16:creationId xmlns:a16="http://schemas.microsoft.com/office/drawing/2014/main" id="{2D317C97-78C1-AAA3-98F9-A323C4D64D9E}"/>
            </a:ext>
          </a:extLst>
        </xdr:cNvPr>
        <xdr:cNvCxnSpPr/>
      </xdr:nvCxnSpPr>
      <xdr:spPr>
        <a:xfrm>
          <a:off x="18458906" y="2524506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86</xdr:row>
      <xdr:rowOff>19051</xdr:rowOff>
    </xdr:from>
    <xdr:to>
      <xdr:col>32</xdr:col>
      <xdr:colOff>125367</xdr:colOff>
      <xdr:row>86</xdr:row>
      <xdr:rowOff>133351</xdr:rowOff>
    </xdr:to>
    <xdr:sp macro="" textlink="">
      <xdr:nvSpPr>
        <xdr:cNvPr id="47074" name="83">
          <a:extLst>
            <a:ext uri="{FF2B5EF4-FFF2-40B4-BE49-F238E27FC236}">
              <a16:creationId xmlns:a16="http://schemas.microsoft.com/office/drawing/2014/main" id="{A7CE344C-5B41-F807-DB40-5E4772BF6760}"/>
            </a:ext>
          </a:extLst>
        </xdr:cNvPr>
        <xdr:cNvSpPr/>
      </xdr:nvSpPr>
      <xdr:spPr>
        <a:xfrm>
          <a:off x="18293443" y="25035511"/>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86</xdr:row>
      <xdr:rowOff>76201</xdr:rowOff>
    </xdr:from>
    <xdr:to>
      <xdr:col>32</xdr:col>
      <xdr:colOff>20683</xdr:colOff>
      <xdr:row>86</xdr:row>
      <xdr:rowOff>76201</xdr:rowOff>
    </xdr:to>
    <xdr:cxnSp macro="">
      <xdr:nvCxnSpPr>
        <xdr:cNvPr id="47077" name="직선 화살표 연결선 47076">
          <a:extLst>
            <a:ext uri="{FF2B5EF4-FFF2-40B4-BE49-F238E27FC236}">
              <a16:creationId xmlns:a16="http://schemas.microsoft.com/office/drawing/2014/main" id="{4FEF3B82-0193-3F2E-2285-C557B8FCE49A}"/>
            </a:ext>
          </a:extLst>
        </xdr:cNvPr>
        <xdr:cNvCxnSpPr/>
      </xdr:nvCxnSpPr>
      <xdr:spPr>
        <a:xfrm>
          <a:off x="18293443" y="2509266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20683</xdr:colOff>
      <xdr:row>85</xdr:row>
      <xdr:rowOff>19051</xdr:rowOff>
    </xdr:from>
    <xdr:to>
      <xdr:col>51</xdr:col>
      <xdr:colOff>125366</xdr:colOff>
      <xdr:row>85</xdr:row>
      <xdr:rowOff>133351</xdr:rowOff>
    </xdr:to>
    <xdr:sp macro="" textlink="">
      <xdr:nvSpPr>
        <xdr:cNvPr id="47078" name="82">
          <a:extLst>
            <a:ext uri="{FF2B5EF4-FFF2-40B4-BE49-F238E27FC236}">
              <a16:creationId xmlns:a16="http://schemas.microsoft.com/office/drawing/2014/main" id="{371A93E7-0D7B-D842-1413-F96FCA16E5AF}"/>
            </a:ext>
          </a:extLst>
        </xdr:cNvPr>
        <xdr:cNvSpPr/>
      </xdr:nvSpPr>
      <xdr:spPr>
        <a:xfrm>
          <a:off x="21044263" y="24883111"/>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20683</xdr:colOff>
      <xdr:row>85</xdr:row>
      <xdr:rowOff>76201</xdr:rowOff>
    </xdr:from>
    <xdr:to>
      <xdr:col>51</xdr:col>
      <xdr:colOff>20683</xdr:colOff>
      <xdr:row>85</xdr:row>
      <xdr:rowOff>76201</xdr:rowOff>
    </xdr:to>
    <xdr:cxnSp macro="">
      <xdr:nvCxnSpPr>
        <xdr:cNvPr id="47079" name="직선 화살표 연결선 47078">
          <a:extLst>
            <a:ext uri="{FF2B5EF4-FFF2-40B4-BE49-F238E27FC236}">
              <a16:creationId xmlns:a16="http://schemas.microsoft.com/office/drawing/2014/main" id="{3E90DBC6-D7CB-81BA-C1E7-3656D1409907}"/>
            </a:ext>
          </a:extLst>
        </xdr:cNvPr>
        <xdr:cNvCxnSpPr/>
      </xdr:nvCxnSpPr>
      <xdr:spPr>
        <a:xfrm>
          <a:off x="21044263" y="2494026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20683</xdr:colOff>
      <xdr:row>84</xdr:row>
      <xdr:rowOff>19051</xdr:rowOff>
    </xdr:from>
    <xdr:to>
      <xdr:col>51</xdr:col>
      <xdr:colOff>125366</xdr:colOff>
      <xdr:row>84</xdr:row>
      <xdr:rowOff>133351</xdr:rowOff>
    </xdr:to>
    <xdr:sp macro="" textlink="">
      <xdr:nvSpPr>
        <xdr:cNvPr id="47080" name="81">
          <a:extLst>
            <a:ext uri="{FF2B5EF4-FFF2-40B4-BE49-F238E27FC236}">
              <a16:creationId xmlns:a16="http://schemas.microsoft.com/office/drawing/2014/main" id="{0A095A6C-B9CD-DD2E-C020-B82856FB37F9}"/>
            </a:ext>
          </a:extLst>
        </xdr:cNvPr>
        <xdr:cNvSpPr/>
      </xdr:nvSpPr>
      <xdr:spPr>
        <a:xfrm>
          <a:off x="21044263" y="24730711"/>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20683</xdr:colOff>
      <xdr:row>84</xdr:row>
      <xdr:rowOff>76201</xdr:rowOff>
    </xdr:from>
    <xdr:to>
      <xdr:col>51</xdr:col>
      <xdr:colOff>20683</xdr:colOff>
      <xdr:row>84</xdr:row>
      <xdr:rowOff>76201</xdr:rowOff>
    </xdr:to>
    <xdr:cxnSp macro="">
      <xdr:nvCxnSpPr>
        <xdr:cNvPr id="47081" name="직선 화살표 연결선 47080">
          <a:extLst>
            <a:ext uri="{FF2B5EF4-FFF2-40B4-BE49-F238E27FC236}">
              <a16:creationId xmlns:a16="http://schemas.microsoft.com/office/drawing/2014/main" id="{4B05C620-0133-6F62-DBCE-426B16F1BFE5}"/>
            </a:ext>
          </a:extLst>
        </xdr:cNvPr>
        <xdr:cNvCxnSpPr/>
      </xdr:nvCxnSpPr>
      <xdr:spPr>
        <a:xfrm>
          <a:off x="21044263" y="2478786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20683</xdr:colOff>
      <xdr:row>83</xdr:row>
      <xdr:rowOff>19051</xdr:rowOff>
    </xdr:from>
    <xdr:to>
      <xdr:col>51</xdr:col>
      <xdr:colOff>125366</xdr:colOff>
      <xdr:row>83</xdr:row>
      <xdr:rowOff>133351</xdr:rowOff>
    </xdr:to>
    <xdr:sp macro="" textlink="">
      <xdr:nvSpPr>
        <xdr:cNvPr id="47082" name="80">
          <a:extLst>
            <a:ext uri="{FF2B5EF4-FFF2-40B4-BE49-F238E27FC236}">
              <a16:creationId xmlns:a16="http://schemas.microsoft.com/office/drawing/2014/main" id="{6862725B-5142-7820-A5A7-F645D0EDFC8F}"/>
            </a:ext>
          </a:extLst>
        </xdr:cNvPr>
        <xdr:cNvSpPr/>
      </xdr:nvSpPr>
      <xdr:spPr>
        <a:xfrm>
          <a:off x="21044263" y="24578311"/>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20683</xdr:colOff>
      <xdr:row>83</xdr:row>
      <xdr:rowOff>76201</xdr:rowOff>
    </xdr:from>
    <xdr:to>
      <xdr:col>51</xdr:col>
      <xdr:colOff>20683</xdr:colOff>
      <xdr:row>83</xdr:row>
      <xdr:rowOff>76201</xdr:rowOff>
    </xdr:to>
    <xdr:cxnSp macro="">
      <xdr:nvCxnSpPr>
        <xdr:cNvPr id="47083" name="직선 화살표 연결선 47082">
          <a:extLst>
            <a:ext uri="{FF2B5EF4-FFF2-40B4-BE49-F238E27FC236}">
              <a16:creationId xmlns:a16="http://schemas.microsoft.com/office/drawing/2014/main" id="{6D32CF6C-31FC-FC41-7B43-C96BE2B450D2}"/>
            </a:ext>
          </a:extLst>
        </xdr:cNvPr>
        <xdr:cNvCxnSpPr/>
      </xdr:nvCxnSpPr>
      <xdr:spPr>
        <a:xfrm>
          <a:off x="21044263" y="2463546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20683</xdr:colOff>
      <xdr:row>82</xdr:row>
      <xdr:rowOff>19051</xdr:rowOff>
    </xdr:from>
    <xdr:to>
      <xdr:col>53</xdr:col>
      <xdr:colOff>125367</xdr:colOff>
      <xdr:row>82</xdr:row>
      <xdr:rowOff>133351</xdr:rowOff>
    </xdr:to>
    <xdr:sp macro="" textlink="">
      <xdr:nvSpPr>
        <xdr:cNvPr id="47084" name="79">
          <a:extLst>
            <a:ext uri="{FF2B5EF4-FFF2-40B4-BE49-F238E27FC236}">
              <a16:creationId xmlns:a16="http://schemas.microsoft.com/office/drawing/2014/main" id="{B76C4C5C-39CB-5E15-0DEF-EB38C6EEAEC3}"/>
            </a:ext>
          </a:extLst>
        </xdr:cNvPr>
        <xdr:cNvSpPr/>
      </xdr:nvSpPr>
      <xdr:spPr>
        <a:xfrm>
          <a:off x="20465143" y="24425911"/>
          <a:ext cx="9733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20683</xdr:colOff>
      <xdr:row>82</xdr:row>
      <xdr:rowOff>76201</xdr:rowOff>
    </xdr:from>
    <xdr:to>
      <xdr:col>47</xdr:col>
      <xdr:colOff>20683</xdr:colOff>
      <xdr:row>82</xdr:row>
      <xdr:rowOff>76201</xdr:rowOff>
    </xdr:to>
    <xdr:cxnSp macro="">
      <xdr:nvCxnSpPr>
        <xdr:cNvPr id="47085" name="직선 화살표 연결선 47084">
          <a:extLst>
            <a:ext uri="{FF2B5EF4-FFF2-40B4-BE49-F238E27FC236}">
              <a16:creationId xmlns:a16="http://schemas.microsoft.com/office/drawing/2014/main" id="{AF9E7E70-3C8E-A994-4327-EBE0355150E0}"/>
            </a:ext>
          </a:extLst>
        </xdr:cNvPr>
        <xdr:cNvCxnSpPr/>
      </xdr:nvCxnSpPr>
      <xdr:spPr>
        <a:xfrm>
          <a:off x="20465143" y="2448306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20683</xdr:colOff>
      <xdr:row>81</xdr:row>
      <xdr:rowOff>19051</xdr:rowOff>
    </xdr:from>
    <xdr:to>
      <xdr:col>48</xdr:col>
      <xdr:colOff>125367</xdr:colOff>
      <xdr:row>81</xdr:row>
      <xdr:rowOff>133351</xdr:rowOff>
    </xdr:to>
    <xdr:sp macro="" textlink="">
      <xdr:nvSpPr>
        <xdr:cNvPr id="47086" name="78">
          <a:extLst>
            <a:ext uri="{FF2B5EF4-FFF2-40B4-BE49-F238E27FC236}">
              <a16:creationId xmlns:a16="http://schemas.microsoft.com/office/drawing/2014/main" id="{FF324B98-C59D-CC7C-F5B5-319DBCD4A9BC}"/>
            </a:ext>
          </a:extLst>
        </xdr:cNvPr>
        <xdr:cNvSpPr/>
      </xdr:nvSpPr>
      <xdr:spPr>
        <a:xfrm>
          <a:off x="20609923" y="24273511"/>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20683</xdr:colOff>
      <xdr:row>81</xdr:row>
      <xdr:rowOff>76201</xdr:rowOff>
    </xdr:from>
    <xdr:to>
      <xdr:col>48</xdr:col>
      <xdr:colOff>20683</xdr:colOff>
      <xdr:row>81</xdr:row>
      <xdr:rowOff>76201</xdr:rowOff>
    </xdr:to>
    <xdr:cxnSp macro="">
      <xdr:nvCxnSpPr>
        <xdr:cNvPr id="47087" name="직선 화살표 연결선 47086">
          <a:extLst>
            <a:ext uri="{FF2B5EF4-FFF2-40B4-BE49-F238E27FC236}">
              <a16:creationId xmlns:a16="http://schemas.microsoft.com/office/drawing/2014/main" id="{E35994E4-F400-7886-F519-9380C38E0F5E}"/>
            </a:ext>
          </a:extLst>
        </xdr:cNvPr>
        <xdr:cNvCxnSpPr/>
      </xdr:nvCxnSpPr>
      <xdr:spPr>
        <a:xfrm>
          <a:off x="20609923" y="2433066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20683</xdr:colOff>
      <xdr:row>80</xdr:row>
      <xdr:rowOff>19051</xdr:rowOff>
    </xdr:from>
    <xdr:to>
      <xdr:col>47</xdr:col>
      <xdr:colOff>125367</xdr:colOff>
      <xdr:row>80</xdr:row>
      <xdr:rowOff>133351</xdr:rowOff>
    </xdr:to>
    <xdr:sp macro="" textlink="">
      <xdr:nvSpPr>
        <xdr:cNvPr id="47088" name="77">
          <a:extLst>
            <a:ext uri="{FF2B5EF4-FFF2-40B4-BE49-F238E27FC236}">
              <a16:creationId xmlns:a16="http://schemas.microsoft.com/office/drawing/2014/main" id="{3E3B2243-A976-1FC5-92C6-9FBC178FBAA9}"/>
            </a:ext>
          </a:extLst>
        </xdr:cNvPr>
        <xdr:cNvSpPr/>
      </xdr:nvSpPr>
      <xdr:spPr>
        <a:xfrm>
          <a:off x="20465143" y="24121111"/>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20683</xdr:colOff>
      <xdr:row>80</xdr:row>
      <xdr:rowOff>76201</xdr:rowOff>
    </xdr:from>
    <xdr:to>
      <xdr:col>47</xdr:col>
      <xdr:colOff>20683</xdr:colOff>
      <xdr:row>80</xdr:row>
      <xdr:rowOff>76201</xdr:rowOff>
    </xdr:to>
    <xdr:cxnSp macro="">
      <xdr:nvCxnSpPr>
        <xdr:cNvPr id="47089" name="직선 화살표 연결선 47088">
          <a:extLst>
            <a:ext uri="{FF2B5EF4-FFF2-40B4-BE49-F238E27FC236}">
              <a16:creationId xmlns:a16="http://schemas.microsoft.com/office/drawing/2014/main" id="{CF4774D8-15FE-588E-24C0-25E022146E12}"/>
            </a:ext>
          </a:extLst>
        </xdr:cNvPr>
        <xdr:cNvCxnSpPr/>
      </xdr:nvCxnSpPr>
      <xdr:spPr>
        <a:xfrm>
          <a:off x="20465143" y="2417826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20683</xdr:colOff>
      <xdr:row>79</xdr:row>
      <xdr:rowOff>19051</xdr:rowOff>
    </xdr:from>
    <xdr:to>
      <xdr:col>46</xdr:col>
      <xdr:colOff>125366</xdr:colOff>
      <xdr:row>79</xdr:row>
      <xdr:rowOff>133351</xdr:rowOff>
    </xdr:to>
    <xdr:sp macro="" textlink="">
      <xdr:nvSpPr>
        <xdr:cNvPr id="47090" name="76">
          <a:extLst>
            <a:ext uri="{FF2B5EF4-FFF2-40B4-BE49-F238E27FC236}">
              <a16:creationId xmlns:a16="http://schemas.microsoft.com/office/drawing/2014/main" id="{C783A154-CBF3-41FB-AC32-904792595694}"/>
            </a:ext>
          </a:extLst>
        </xdr:cNvPr>
        <xdr:cNvSpPr/>
      </xdr:nvSpPr>
      <xdr:spPr>
        <a:xfrm>
          <a:off x="19596463" y="23968711"/>
          <a:ext cx="8285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20683</xdr:colOff>
      <xdr:row>79</xdr:row>
      <xdr:rowOff>76201</xdr:rowOff>
    </xdr:from>
    <xdr:to>
      <xdr:col>41</xdr:col>
      <xdr:colOff>20683</xdr:colOff>
      <xdr:row>79</xdr:row>
      <xdr:rowOff>76201</xdr:rowOff>
    </xdr:to>
    <xdr:cxnSp macro="">
      <xdr:nvCxnSpPr>
        <xdr:cNvPr id="47091" name="직선 화살표 연결선 47090">
          <a:extLst>
            <a:ext uri="{FF2B5EF4-FFF2-40B4-BE49-F238E27FC236}">
              <a16:creationId xmlns:a16="http://schemas.microsoft.com/office/drawing/2014/main" id="{8F46B068-B4AA-2DB0-17C4-BF692430E513}"/>
            </a:ext>
          </a:extLst>
        </xdr:cNvPr>
        <xdr:cNvCxnSpPr/>
      </xdr:nvCxnSpPr>
      <xdr:spPr>
        <a:xfrm>
          <a:off x="19596463" y="2402586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78</xdr:row>
      <xdr:rowOff>19051</xdr:rowOff>
    </xdr:from>
    <xdr:to>
      <xdr:col>42</xdr:col>
      <xdr:colOff>125367</xdr:colOff>
      <xdr:row>78</xdr:row>
      <xdr:rowOff>133351</xdr:rowOff>
    </xdr:to>
    <xdr:sp macro="" textlink="">
      <xdr:nvSpPr>
        <xdr:cNvPr id="47092" name="75">
          <a:extLst>
            <a:ext uri="{FF2B5EF4-FFF2-40B4-BE49-F238E27FC236}">
              <a16:creationId xmlns:a16="http://schemas.microsoft.com/office/drawing/2014/main" id="{714C7F79-D91D-E17F-2624-F8D5089DB49C}"/>
            </a:ext>
          </a:extLst>
        </xdr:cNvPr>
        <xdr:cNvSpPr/>
      </xdr:nvSpPr>
      <xdr:spPr>
        <a:xfrm>
          <a:off x="19017343" y="23816311"/>
          <a:ext cx="8285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78</xdr:row>
      <xdr:rowOff>76201</xdr:rowOff>
    </xdr:from>
    <xdr:to>
      <xdr:col>37</xdr:col>
      <xdr:colOff>20683</xdr:colOff>
      <xdr:row>78</xdr:row>
      <xdr:rowOff>76201</xdr:rowOff>
    </xdr:to>
    <xdr:cxnSp macro="">
      <xdr:nvCxnSpPr>
        <xdr:cNvPr id="47093" name="직선 화살표 연결선 47092">
          <a:extLst>
            <a:ext uri="{FF2B5EF4-FFF2-40B4-BE49-F238E27FC236}">
              <a16:creationId xmlns:a16="http://schemas.microsoft.com/office/drawing/2014/main" id="{E024CD4C-C9AA-48AF-B182-46213541777F}"/>
            </a:ext>
          </a:extLst>
        </xdr:cNvPr>
        <xdr:cNvCxnSpPr/>
      </xdr:nvCxnSpPr>
      <xdr:spPr>
        <a:xfrm>
          <a:off x="19017343" y="2387346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77</xdr:row>
      <xdr:rowOff>19051</xdr:rowOff>
    </xdr:from>
    <xdr:to>
      <xdr:col>36</xdr:col>
      <xdr:colOff>125366</xdr:colOff>
      <xdr:row>77</xdr:row>
      <xdr:rowOff>133351</xdr:rowOff>
    </xdr:to>
    <xdr:sp macro="" textlink="">
      <xdr:nvSpPr>
        <xdr:cNvPr id="47094" name="74">
          <a:extLst>
            <a:ext uri="{FF2B5EF4-FFF2-40B4-BE49-F238E27FC236}">
              <a16:creationId xmlns:a16="http://schemas.microsoft.com/office/drawing/2014/main" id="{995B9201-FD69-D4FC-E432-4464F61E3D5D}"/>
            </a:ext>
          </a:extLst>
        </xdr:cNvPr>
        <xdr:cNvSpPr/>
      </xdr:nvSpPr>
      <xdr:spPr>
        <a:xfrm>
          <a:off x="18293443" y="23663911"/>
          <a:ext cx="6838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77</xdr:row>
      <xdr:rowOff>76201</xdr:rowOff>
    </xdr:from>
    <xdr:to>
      <xdr:col>32</xdr:col>
      <xdr:colOff>20683</xdr:colOff>
      <xdr:row>77</xdr:row>
      <xdr:rowOff>76201</xdr:rowOff>
    </xdr:to>
    <xdr:cxnSp macro="">
      <xdr:nvCxnSpPr>
        <xdr:cNvPr id="47095" name="직선 화살표 연결선 47094">
          <a:extLst>
            <a:ext uri="{FF2B5EF4-FFF2-40B4-BE49-F238E27FC236}">
              <a16:creationId xmlns:a16="http://schemas.microsoft.com/office/drawing/2014/main" id="{48F751A7-D20C-B442-AC4B-C4C2F52032A8}"/>
            </a:ext>
          </a:extLst>
        </xdr:cNvPr>
        <xdr:cNvCxnSpPr/>
      </xdr:nvCxnSpPr>
      <xdr:spPr>
        <a:xfrm>
          <a:off x="18293443" y="2372106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76</xdr:row>
      <xdr:rowOff>19051</xdr:rowOff>
    </xdr:from>
    <xdr:to>
      <xdr:col>53</xdr:col>
      <xdr:colOff>125367</xdr:colOff>
      <xdr:row>76</xdr:row>
      <xdr:rowOff>133351</xdr:rowOff>
    </xdr:to>
    <xdr:sp macro="" textlink="">
      <xdr:nvSpPr>
        <xdr:cNvPr id="47096" name="73">
          <a:extLst>
            <a:ext uri="{FF2B5EF4-FFF2-40B4-BE49-F238E27FC236}">
              <a16:creationId xmlns:a16="http://schemas.microsoft.com/office/drawing/2014/main" id="{1FE8C856-659E-49D7-D5AC-009D5A049C03}"/>
            </a:ext>
          </a:extLst>
        </xdr:cNvPr>
        <xdr:cNvSpPr/>
      </xdr:nvSpPr>
      <xdr:spPr>
        <a:xfrm>
          <a:off x="18293443" y="23511511"/>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76</xdr:row>
      <xdr:rowOff>76201</xdr:rowOff>
    </xdr:from>
    <xdr:to>
      <xdr:col>32</xdr:col>
      <xdr:colOff>20683</xdr:colOff>
      <xdr:row>76</xdr:row>
      <xdr:rowOff>76201</xdr:rowOff>
    </xdr:to>
    <xdr:cxnSp macro="">
      <xdr:nvCxnSpPr>
        <xdr:cNvPr id="47097" name="직선 화살표 연결선 47096">
          <a:extLst>
            <a:ext uri="{FF2B5EF4-FFF2-40B4-BE49-F238E27FC236}">
              <a16:creationId xmlns:a16="http://schemas.microsoft.com/office/drawing/2014/main" id="{31A1DF56-BE22-D2B5-9616-0EDDF392A471}"/>
            </a:ext>
          </a:extLst>
        </xdr:cNvPr>
        <xdr:cNvCxnSpPr/>
      </xdr:nvCxnSpPr>
      <xdr:spPr>
        <a:xfrm>
          <a:off x="18293443" y="2356866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20682</xdr:colOff>
      <xdr:row>75</xdr:row>
      <xdr:rowOff>19051</xdr:rowOff>
    </xdr:from>
    <xdr:to>
      <xdr:col>48</xdr:col>
      <xdr:colOff>125367</xdr:colOff>
      <xdr:row>75</xdr:row>
      <xdr:rowOff>133351</xdr:rowOff>
    </xdr:to>
    <xdr:sp macro="" textlink="">
      <xdr:nvSpPr>
        <xdr:cNvPr id="47098" name="72">
          <a:extLst>
            <a:ext uri="{FF2B5EF4-FFF2-40B4-BE49-F238E27FC236}">
              <a16:creationId xmlns:a16="http://schemas.microsoft.com/office/drawing/2014/main" id="{E15112D3-171E-48D3-B41F-0E45A628CAC3}"/>
            </a:ext>
          </a:extLst>
        </xdr:cNvPr>
        <xdr:cNvSpPr/>
      </xdr:nvSpPr>
      <xdr:spPr>
        <a:xfrm>
          <a:off x="20175582" y="23359111"/>
          <a:ext cx="5390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20682</xdr:colOff>
      <xdr:row>75</xdr:row>
      <xdr:rowOff>76201</xdr:rowOff>
    </xdr:from>
    <xdr:to>
      <xdr:col>45</xdr:col>
      <xdr:colOff>20682</xdr:colOff>
      <xdr:row>75</xdr:row>
      <xdr:rowOff>76201</xdr:rowOff>
    </xdr:to>
    <xdr:cxnSp macro="">
      <xdr:nvCxnSpPr>
        <xdr:cNvPr id="47099" name="직선 화살표 연결선 47098">
          <a:extLst>
            <a:ext uri="{FF2B5EF4-FFF2-40B4-BE49-F238E27FC236}">
              <a16:creationId xmlns:a16="http://schemas.microsoft.com/office/drawing/2014/main" id="{A5592E03-3760-97E4-4809-7FF8C019349C}"/>
            </a:ext>
          </a:extLst>
        </xdr:cNvPr>
        <xdr:cNvCxnSpPr/>
      </xdr:nvCxnSpPr>
      <xdr:spPr>
        <a:xfrm>
          <a:off x="20175582" y="2341626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20682</xdr:colOff>
      <xdr:row>74</xdr:row>
      <xdr:rowOff>26669</xdr:rowOff>
    </xdr:from>
    <xdr:to>
      <xdr:col>44</xdr:col>
      <xdr:colOff>125367</xdr:colOff>
      <xdr:row>74</xdr:row>
      <xdr:rowOff>140969</xdr:rowOff>
    </xdr:to>
    <xdr:sp macro="" textlink="">
      <xdr:nvSpPr>
        <xdr:cNvPr id="47100" name="71">
          <a:extLst>
            <a:ext uri="{FF2B5EF4-FFF2-40B4-BE49-F238E27FC236}">
              <a16:creationId xmlns:a16="http://schemas.microsoft.com/office/drawing/2014/main" id="{E423644C-5121-E0F5-AB5B-8303263B01BE}"/>
            </a:ext>
          </a:extLst>
        </xdr:cNvPr>
        <xdr:cNvSpPr/>
      </xdr:nvSpPr>
      <xdr:spPr>
        <a:xfrm>
          <a:off x="19451682" y="23199089"/>
          <a:ext cx="68380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20682</xdr:colOff>
      <xdr:row>74</xdr:row>
      <xdr:rowOff>83819</xdr:rowOff>
    </xdr:from>
    <xdr:to>
      <xdr:col>40</xdr:col>
      <xdr:colOff>20682</xdr:colOff>
      <xdr:row>74</xdr:row>
      <xdr:rowOff>83819</xdr:rowOff>
    </xdr:to>
    <xdr:cxnSp macro="">
      <xdr:nvCxnSpPr>
        <xdr:cNvPr id="47101" name="직선 화살표 연결선 47100">
          <a:extLst>
            <a:ext uri="{FF2B5EF4-FFF2-40B4-BE49-F238E27FC236}">
              <a16:creationId xmlns:a16="http://schemas.microsoft.com/office/drawing/2014/main" id="{02B0EFD0-47BE-3E0D-1968-E6A38D9AFCDC}"/>
            </a:ext>
          </a:extLst>
        </xdr:cNvPr>
        <xdr:cNvCxnSpPr/>
      </xdr:nvCxnSpPr>
      <xdr:spPr>
        <a:xfrm>
          <a:off x="19451682" y="232562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20682</xdr:colOff>
      <xdr:row>73</xdr:row>
      <xdr:rowOff>19050</xdr:rowOff>
    </xdr:from>
    <xdr:to>
      <xdr:col>44</xdr:col>
      <xdr:colOff>125367</xdr:colOff>
      <xdr:row>73</xdr:row>
      <xdr:rowOff>133350</xdr:rowOff>
    </xdr:to>
    <xdr:sp macro="" textlink="">
      <xdr:nvSpPr>
        <xdr:cNvPr id="47102" name="70">
          <a:extLst>
            <a:ext uri="{FF2B5EF4-FFF2-40B4-BE49-F238E27FC236}">
              <a16:creationId xmlns:a16="http://schemas.microsoft.com/office/drawing/2014/main" id="{A6BDB3FE-0453-BC0D-FF0D-62EE5CD081B6}"/>
            </a:ext>
          </a:extLst>
        </xdr:cNvPr>
        <xdr:cNvSpPr/>
      </xdr:nvSpPr>
      <xdr:spPr>
        <a:xfrm>
          <a:off x="19451682" y="23039070"/>
          <a:ext cx="68380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20682</xdr:colOff>
      <xdr:row>73</xdr:row>
      <xdr:rowOff>76200</xdr:rowOff>
    </xdr:from>
    <xdr:to>
      <xdr:col>40</xdr:col>
      <xdr:colOff>20682</xdr:colOff>
      <xdr:row>73</xdr:row>
      <xdr:rowOff>76200</xdr:rowOff>
    </xdr:to>
    <xdr:cxnSp macro="">
      <xdr:nvCxnSpPr>
        <xdr:cNvPr id="47103" name="직선 화살표 연결선 47102">
          <a:extLst>
            <a:ext uri="{FF2B5EF4-FFF2-40B4-BE49-F238E27FC236}">
              <a16:creationId xmlns:a16="http://schemas.microsoft.com/office/drawing/2014/main" id="{E1AE9424-A948-43EB-A8D0-E6C24C76B924}"/>
            </a:ext>
          </a:extLst>
        </xdr:cNvPr>
        <xdr:cNvCxnSpPr/>
      </xdr:nvCxnSpPr>
      <xdr:spPr>
        <a:xfrm>
          <a:off x="19451682" y="230962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20682</xdr:colOff>
      <xdr:row>72</xdr:row>
      <xdr:rowOff>19050</xdr:rowOff>
    </xdr:from>
    <xdr:to>
      <xdr:col>48</xdr:col>
      <xdr:colOff>125367</xdr:colOff>
      <xdr:row>72</xdr:row>
      <xdr:rowOff>133350</xdr:rowOff>
    </xdr:to>
    <xdr:sp macro="" textlink="">
      <xdr:nvSpPr>
        <xdr:cNvPr id="22979" name="69">
          <a:extLst>
            <a:ext uri="{FF2B5EF4-FFF2-40B4-BE49-F238E27FC236}">
              <a16:creationId xmlns:a16="http://schemas.microsoft.com/office/drawing/2014/main" id="{D905EF3A-83B8-4E41-B48E-8510DDEF7E57}"/>
            </a:ext>
          </a:extLst>
        </xdr:cNvPr>
        <xdr:cNvSpPr/>
      </xdr:nvSpPr>
      <xdr:spPr>
        <a:xfrm>
          <a:off x="19451682" y="22886670"/>
          <a:ext cx="12629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20682</xdr:colOff>
      <xdr:row>72</xdr:row>
      <xdr:rowOff>76200</xdr:rowOff>
    </xdr:from>
    <xdr:to>
      <xdr:col>40</xdr:col>
      <xdr:colOff>20682</xdr:colOff>
      <xdr:row>72</xdr:row>
      <xdr:rowOff>76200</xdr:rowOff>
    </xdr:to>
    <xdr:cxnSp macro="">
      <xdr:nvCxnSpPr>
        <xdr:cNvPr id="22980" name="직선 화살표 연결선 22979">
          <a:extLst>
            <a:ext uri="{FF2B5EF4-FFF2-40B4-BE49-F238E27FC236}">
              <a16:creationId xmlns:a16="http://schemas.microsoft.com/office/drawing/2014/main" id="{D95742DD-8E3D-20EA-745C-69FA30A07B57}"/>
            </a:ext>
          </a:extLst>
        </xdr:cNvPr>
        <xdr:cNvCxnSpPr/>
      </xdr:nvCxnSpPr>
      <xdr:spPr>
        <a:xfrm>
          <a:off x="19451682" y="229438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20683</xdr:colOff>
      <xdr:row>71</xdr:row>
      <xdr:rowOff>19050</xdr:rowOff>
    </xdr:from>
    <xdr:to>
      <xdr:col>39</xdr:col>
      <xdr:colOff>125367</xdr:colOff>
      <xdr:row>71</xdr:row>
      <xdr:rowOff>133350</xdr:rowOff>
    </xdr:to>
    <xdr:sp macro="" textlink="">
      <xdr:nvSpPr>
        <xdr:cNvPr id="22981" name="68">
          <a:extLst>
            <a:ext uri="{FF2B5EF4-FFF2-40B4-BE49-F238E27FC236}">
              <a16:creationId xmlns:a16="http://schemas.microsoft.com/office/drawing/2014/main" id="{A3B365BA-063F-917D-EBDB-AB71C28477ED}"/>
            </a:ext>
          </a:extLst>
        </xdr:cNvPr>
        <xdr:cNvSpPr/>
      </xdr:nvSpPr>
      <xdr:spPr>
        <a:xfrm>
          <a:off x="19162123" y="2273427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20683</xdr:colOff>
      <xdr:row>71</xdr:row>
      <xdr:rowOff>76200</xdr:rowOff>
    </xdr:from>
    <xdr:to>
      <xdr:col>38</xdr:col>
      <xdr:colOff>20683</xdr:colOff>
      <xdr:row>71</xdr:row>
      <xdr:rowOff>76200</xdr:rowOff>
    </xdr:to>
    <xdr:cxnSp macro="">
      <xdr:nvCxnSpPr>
        <xdr:cNvPr id="22982" name="직선 화살표 연결선 22981">
          <a:extLst>
            <a:ext uri="{FF2B5EF4-FFF2-40B4-BE49-F238E27FC236}">
              <a16:creationId xmlns:a16="http://schemas.microsoft.com/office/drawing/2014/main" id="{E98E720B-FA09-2522-E12E-76968281F8ED}"/>
            </a:ext>
          </a:extLst>
        </xdr:cNvPr>
        <xdr:cNvCxnSpPr/>
      </xdr:nvCxnSpPr>
      <xdr:spPr>
        <a:xfrm>
          <a:off x="19162123" y="227914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70</xdr:row>
      <xdr:rowOff>19050</xdr:rowOff>
    </xdr:from>
    <xdr:to>
      <xdr:col>37</xdr:col>
      <xdr:colOff>125367</xdr:colOff>
      <xdr:row>70</xdr:row>
      <xdr:rowOff>133350</xdr:rowOff>
    </xdr:to>
    <xdr:sp macro="" textlink="">
      <xdr:nvSpPr>
        <xdr:cNvPr id="22983" name="67">
          <a:extLst>
            <a:ext uri="{FF2B5EF4-FFF2-40B4-BE49-F238E27FC236}">
              <a16:creationId xmlns:a16="http://schemas.microsoft.com/office/drawing/2014/main" id="{FB44BE5C-631E-2B15-85A5-E5A576F6EB95}"/>
            </a:ext>
          </a:extLst>
        </xdr:cNvPr>
        <xdr:cNvSpPr/>
      </xdr:nvSpPr>
      <xdr:spPr>
        <a:xfrm>
          <a:off x="19017343" y="2258187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70</xdr:row>
      <xdr:rowOff>76200</xdr:rowOff>
    </xdr:from>
    <xdr:to>
      <xdr:col>37</xdr:col>
      <xdr:colOff>20683</xdr:colOff>
      <xdr:row>70</xdr:row>
      <xdr:rowOff>76200</xdr:rowOff>
    </xdr:to>
    <xdr:cxnSp macro="">
      <xdr:nvCxnSpPr>
        <xdr:cNvPr id="22984" name="직선 화살표 연결선 22983">
          <a:extLst>
            <a:ext uri="{FF2B5EF4-FFF2-40B4-BE49-F238E27FC236}">
              <a16:creationId xmlns:a16="http://schemas.microsoft.com/office/drawing/2014/main" id="{07F1940D-3B0D-5FA0-7533-038831C4CB70}"/>
            </a:ext>
          </a:extLst>
        </xdr:cNvPr>
        <xdr:cNvCxnSpPr/>
      </xdr:nvCxnSpPr>
      <xdr:spPr>
        <a:xfrm>
          <a:off x="19017343" y="226390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69</xdr:row>
      <xdr:rowOff>26670</xdr:rowOff>
    </xdr:from>
    <xdr:to>
      <xdr:col>36</xdr:col>
      <xdr:colOff>125366</xdr:colOff>
      <xdr:row>69</xdr:row>
      <xdr:rowOff>140970</xdr:rowOff>
    </xdr:to>
    <xdr:sp macro="" textlink="">
      <xdr:nvSpPr>
        <xdr:cNvPr id="22991" name="66">
          <a:extLst>
            <a:ext uri="{FF2B5EF4-FFF2-40B4-BE49-F238E27FC236}">
              <a16:creationId xmlns:a16="http://schemas.microsoft.com/office/drawing/2014/main" id="{60E3D287-AA50-BE4B-B3E4-E175306E1E6F}"/>
            </a:ext>
          </a:extLst>
        </xdr:cNvPr>
        <xdr:cNvSpPr/>
      </xdr:nvSpPr>
      <xdr:spPr>
        <a:xfrm>
          <a:off x="18872563" y="22421850"/>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69</xdr:row>
      <xdr:rowOff>83820</xdr:rowOff>
    </xdr:from>
    <xdr:to>
      <xdr:col>36</xdr:col>
      <xdr:colOff>20683</xdr:colOff>
      <xdr:row>69</xdr:row>
      <xdr:rowOff>83820</xdr:rowOff>
    </xdr:to>
    <xdr:cxnSp macro="">
      <xdr:nvCxnSpPr>
        <xdr:cNvPr id="22992" name="직선 화살표 연결선 22991">
          <a:extLst>
            <a:ext uri="{FF2B5EF4-FFF2-40B4-BE49-F238E27FC236}">
              <a16:creationId xmlns:a16="http://schemas.microsoft.com/office/drawing/2014/main" id="{F317FC94-E3C0-3654-151D-F0432D00714B}"/>
            </a:ext>
          </a:extLst>
        </xdr:cNvPr>
        <xdr:cNvCxnSpPr/>
      </xdr:nvCxnSpPr>
      <xdr:spPr>
        <a:xfrm>
          <a:off x="18872563" y="224790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68</xdr:row>
      <xdr:rowOff>26669</xdr:rowOff>
    </xdr:from>
    <xdr:to>
      <xdr:col>39</xdr:col>
      <xdr:colOff>125367</xdr:colOff>
      <xdr:row>68</xdr:row>
      <xdr:rowOff>140969</xdr:rowOff>
    </xdr:to>
    <xdr:sp macro="" textlink="">
      <xdr:nvSpPr>
        <xdr:cNvPr id="22999" name="65">
          <a:extLst>
            <a:ext uri="{FF2B5EF4-FFF2-40B4-BE49-F238E27FC236}">
              <a16:creationId xmlns:a16="http://schemas.microsoft.com/office/drawing/2014/main" id="{64FDA4B6-61E6-8609-B0E3-170E7BE3D0BA}"/>
            </a:ext>
          </a:extLst>
        </xdr:cNvPr>
        <xdr:cNvSpPr/>
      </xdr:nvSpPr>
      <xdr:spPr>
        <a:xfrm>
          <a:off x="18872563" y="22254209"/>
          <a:ext cx="5390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68</xdr:row>
      <xdr:rowOff>83819</xdr:rowOff>
    </xdr:from>
    <xdr:to>
      <xdr:col>36</xdr:col>
      <xdr:colOff>20683</xdr:colOff>
      <xdr:row>68</xdr:row>
      <xdr:rowOff>83819</xdr:rowOff>
    </xdr:to>
    <xdr:cxnSp macro="">
      <xdr:nvCxnSpPr>
        <xdr:cNvPr id="23000" name="직선 화살표 연결선 22999">
          <a:extLst>
            <a:ext uri="{FF2B5EF4-FFF2-40B4-BE49-F238E27FC236}">
              <a16:creationId xmlns:a16="http://schemas.microsoft.com/office/drawing/2014/main" id="{83FC20CA-3179-4AD1-4457-8B71BC1B8EDA}"/>
            </a:ext>
          </a:extLst>
        </xdr:cNvPr>
        <xdr:cNvCxnSpPr/>
      </xdr:nvCxnSpPr>
      <xdr:spPr>
        <a:xfrm>
          <a:off x="18872563" y="2231135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67</xdr:row>
      <xdr:rowOff>19049</xdr:rowOff>
    </xdr:from>
    <xdr:to>
      <xdr:col>48</xdr:col>
      <xdr:colOff>125367</xdr:colOff>
      <xdr:row>67</xdr:row>
      <xdr:rowOff>133349</xdr:rowOff>
    </xdr:to>
    <xdr:sp macro="" textlink="">
      <xdr:nvSpPr>
        <xdr:cNvPr id="23001" name="64">
          <a:extLst>
            <a:ext uri="{FF2B5EF4-FFF2-40B4-BE49-F238E27FC236}">
              <a16:creationId xmlns:a16="http://schemas.microsoft.com/office/drawing/2014/main" id="{3A773A00-C040-0E6A-F8A3-B0181C97FDAD}"/>
            </a:ext>
          </a:extLst>
        </xdr:cNvPr>
        <xdr:cNvSpPr/>
      </xdr:nvSpPr>
      <xdr:spPr>
        <a:xfrm>
          <a:off x="18872563" y="22094189"/>
          <a:ext cx="18420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67</xdr:row>
      <xdr:rowOff>76199</xdr:rowOff>
    </xdr:from>
    <xdr:to>
      <xdr:col>36</xdr:col>
      <xdr:colOff>20683</xdr:colOff>
      <xdr:row>67</xdr:row>
      <xdr:rowOff>76199</xdr:rowOff>
    </xdr:to>
    <xdr:cxnSp macro="">
      <xdr:nvCxnSpPr>
        <xdr:cNvPr id="23002" name="직선 화살표 연결선 23001">
          <a:extLst>
            <a:ext uri="{FF2B5EF4-FFF2-40B4-BE49-F238E27FC236}">
              <a16:creationId xmlns:a16="http://schemas.microsoft.com/office/drawing/2014/main" id="{4FB327B8-80B1-6E87-B45D-6977D691E685}"/>
            </a:ext>
          </a:extLst>
        </xdr:cNvPr>
        <xdr:cNvCxnSpPr/>
      </xdr:nvCxnSpPr>
      <xdr:spPr>
        <a:xfrm>
          <a:off x="18872563" y="22151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66</xdr:row>
      <xdr:rowOff>19049</xdr:rowOff>
    </xdr:from>
    <xdr:to>
      <xdr:col>53</xdr:col>
      <xdr:colOff>125367</xdr:colOff>
      <xdr:row>66</xdr:row>
      <xdr:rowOff>133349</xdr:rowOff>
    </xdr:to>
    <xdr:sp macro="" textlink="">
      <xdr:nvSpPr>
        <xdr:cNvPr id="23003" name="63">
          <a:extLst>
            <a:ext uri="{FF2B5EF4-FFF2-40B4-BE49-F238E27FC236}">
              <a16:creationId xmlns:a16="http://schemas.microsoft.com/office/drawing/2014/main" id="{8C5C0CB1-3971-75FA-8287-E90530F67FA1}"/>
            </a:ext>
          </a:extLst>
        </xdr:cNvPr>
        <xdr:cNvSpPr/>
      </xdr:nvSpPr>
      <xdr:spPr>
        <a:xfrm>
          <a:off x="18872563" y="21941789"/>
          <a:ext cx="25659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66</xdr:row>
      <xdr:rowOff>76199</xdr:rowOff>
    </xdr:from>
    <xdr:to>
      <xdr:col>36</xdr:col>
      <xdr:colOff>20683</xdr:colOff>
      <xdr:row>66</xdr:row>
      <xdr:rowOff>76199</xdr:rowOff>
    </xdr:to>
    <xdr:cxnSp macro="">
      <xdr:nvCxnSpPr>
        <xdr:cNvPr id="23004" name="직선 화살표 연결선 23003">
          <a:extLst>
            <a:ext uri="{FF2B5EF4-FFF2-40B4-BE49-F238E27FC236}">
              <a16:creationId xmlns:a16="http://schemas.microsoft.com/office/drawing/2014/main" id="{6322E480-C0E9-4439-A886-DCA87CD4B4E6}"/>
            </a:ext>
          </a:extLst>
        </xdr:cNvPr>
        <xdr:cNvCxnSpPr/>
      </xdr:nvCxnSpPr>
      <xdr:spPr>
        <a:xfrm>
          <a:off x="18872563" y="21998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65</xdr:row>
      <xdr:rowOff>19049</xdr:rowOff>
    </xdr:from>
    <xdr:to>
      <xdr:col>35</xdr:col>
      <xdr:colOff>125368</xdr:colOff>
      <xdr:row>65</xdr:row>
      <xdr:rowOff>133349</xdr:rowOff>
    </xdr:to>
    <xdr:sp macro="" textlink="">
      <xdr:nvSpPr>
        <xdr:cNvPr id="23005" name="62">
          <a:extLst>
            <a:ext uri="{FF2B5EF4-FFF2-40B4-BE49-F238E27FC236}">
              <a16:creationId xmlns:a16="http://schemas.microsoft.com/office/drawing/2014/main" id="{1DDE4B6C-0014-8B94-2B8E-ACE2ACB36592}"/>
            </a:ext>
          </a:extLst>
        </xdr:cNvPr>
        <xdr:cNvSpPr/>
      </xdr:nvSpPr>
      <xdr:spPr>
        <a:xfrm>
          <a:off x="18458906" y="21789389"/>
          <a:ext cx="37356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65</xdr:row>
      <xdr:rowOff>76199</xdr:rowOff>
    </xdr:from>
    <xdr:to>
      <xdr:col>33</xdr:col>
      <xdr:colOff>41366</xdr:colOff>
      <xdr:row>65</xdr:row>
      <xdr:rowOff>76199</xdr:rowOff>
    </xdr:to>
    <xdr:cxnSp macro="">
      <xdr:nvCxnSpPr>
        <xdr:cNvPr id="23006" name="직선 화살표 연결선 23005">
          <a:extLst>
            <a:ext uri="{FF2B5EF4-FFF2-40B4-BE49-F238E27FC236}">
              <a16:creationId xmlns:a16="http://schemas.microsoft.com/office/drawing/2014/main" id="{A70061D7-E0A9-EB05-CF48-5A05C9A0765F}"/>
            </a:ext>
          </a:extLst>
        </xdr:cNvPr>
        <xdr:cNvCxnSpPr/>
      </xdr:nvCxnSpPr>
      <xdr:spPr>
        <a:xfrm>
          <a:off x="18458906" y="21846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64</xdr:row>
      <xdr:rowOff>19049</xdr:rowOff>
    </xdr:from>
    <xdr:to>
      <xdr:col>53</xdr:col>
      <xdr:colOff>125367</xdr:colOff>
      <xdr:row>64</xdr:row>
      <xdr:rowOff>133349</xdr:rowOff>
    </xdr:to>
    <xdr:sp macro="" textlink="">
      <xdr:nvSpPr>
        <xdr:cNvPr id="23007" name="61">
          <a:extLst>
            <a:ext uri="{FF2B5EF4-FFF2-40B4-BE49-F238E27FC236}">
              <a16:creationId xmlns:a16="http://schemas.microsoft.com/office/drawing/2014/main" id="{D02ECD50-4B9D-9A02-3424-30C184EC5E84}"/>
            </a:ext>
          </a:extLst>
        </xdr:cNvPr>
        <xdr:cNvSpPr/>
      </xdr:nvSpPr>
      <xdr:spPr>
        <a:xfrm>
          <a:off x="18458906" y="21636989"/>
          <a:ext cx="297960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64</xdr:row>
      <xdr:rowOff>76199</xdr:rowOff>
    </xdr:from>
    <xdr:to>
      <xdr:col>33</xdr:col>
      <xdr:colOff>41366</xdr:colOff>
      <xdr:row>64</xdr:row>
      <xdr:rowOff>76199</xdr:rowOff>
    </xdr:to>
    <xdr:cxnSp macro="">
      <xdr:nvCxnSpPr>
        <xdr:cNvPr id="23008" name="직선 화살표 연결선 23007">
          <a:extLst>
            <a:ext uri="{FF2B5EF4-FFF2-40B4-BE49-F238E27FC236}">
              <a16:creationId xmlns:a16="http://schemas.microsoft.com/office/drawing/2014/main" id="{04DA1301-1347-B109-E5AE-1B6D44220AE2}"/>
            </a:ext>
          </a:extLst>
        </xdr:cNvPr>
        <xdr:cNvCxnSpPr/>
      </xdr:nvCxnSpPr>
      <xdr:spPr>
        <a:xfrm>
          <a:off x="18458906" y="21694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63</xdr:row>
      <xdr:rowOff>118110</xdr:rowOff>
    </xdr:from>
    <xdr:to>
      <xdr:col>53</xdr:col>
      <xdr:colOff>125367</xdr:colOff>
      <xdr:row>63</xdr:row>
      <xdr:rowOff>232410</xdr:rowOff>
    </xdr:to>
    <xdr:sp macro="" textlink="">
      <xdr:nvSpPr>
        <xdr:cNvPr id="23013" name="60">
          <a:extLst>
            <a:ext uri="{FF2B5EF4-FFF2-40B4-BE49-F238E27FC236}">
              <a16:creationId xmlns:a16="http://schemas.microsoft.com/office/drawing/2014/main" id="{1468C1DC-0567-B712-8EAA-C65BACB82DCE}"/>
            </a:ext>
          </a:extLst>
        </xdr:cNvPr>
        <xdr:cNvSpPr/>
      </xdr:nvSpPr>
      <xdr:spPr>
        <a:xfrm>
          <a:off x="18293443" y="2138553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63</xdr:row>
      <xdr:rowOff>175260</xdr:rowOff>
    </xdr:from>
    <xdr:to>
      <xdr:col>32</xdr:col>
      <xdr:colOff>20683</xdr:colOff>
      <xdr:row>63</xdr:row>
      <xdr:rowOff>175260</xdr:rowOff>
    </xdr:to>
    <xdr:cxnSp macro="">
      <xdr:nvCxnSpPr>
        <xdr:cNvPr id="23014" name="직선 화살표 연결선 23013">
          <a:extLst>
            <a:ext uri="{FF2B5EF4-FFF2-40B4-BE49-F238E27FC236}">
              <a16:creationId xmlns:a16="http://schemas.microsoft.com/office/drawing/2014/main" id="{3D0718B1-9E7A-A66C-5546-77A2E08107AE}"/>
            </a:ext>
          </a:extLst>
        </xdr:cNvPr>
        <xdr:cNvCxnSpPr/>
      </xdr:nvCxnSpPr>
      <xdr:spPr>
        <a:xfrm>
          <a:off x="18293443" y="214426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20683</xdr:colOff>
      <xdr:row>62</xdr:row>
      <xdr:rowOff>19050</xdr:rowOff>
    </xdr:from>
    <xdr:to>
      <xdr:col>53</xdr:col>
      <xdr:colOff>125367</xdr:colOff>
      <xdr:row>62</xdr:row>
      <xdr:rowOff>133350</xdr:rowOff>
    </xdr:to>
    <xdr:sp macro="" textlink="">
      <xdr:nvSpPr>
        <xdr:cNvPr id="23015" name="59">
          <a:extLst>
            <a:ext uri="{FF2B5EF4-FFF2-40B4-BE49-F238E27FC236}">
              <a16:creationId xmlns:a16="http://schemas.microsoft.com/office/drawing/2014/main" id="{4E15EB9B-7429-9EB5-82DE-FA6CCAA654B8}"/>
            </a:ext>
          </a:extLst>
        </xdr:cNvPr>
        <xdr:cNvSpPr/>
      </xdr:nvSpPr>
      <xdr:spPr>
        <a:xfrm>
          <a:off x="21189043" y="2113407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20683</xdr:colOff>
      <xdr:row>62</xdr:row>
      <xdr:rowOff>76200</xdr:rowOff>
    </xdr:from>
    <xdr:to>
      <xdr:col>52</xdr:col>
      <xdr:colOff>20683</xdr:colOff>
      <xdr:row>62</xdr:row>
      <xdr:rowOff>76200</xdr:rowOff>
    </xdr:to>
    <xdr:cxnSp macro="">
      <xdr:nvCxnSpPr>
        <xdr:cNvPr id="23016" name="직선 화살표 연결선 23015">
          <a:extLst>
            <a:ext uri="{FF2B5EF4-FFF2-40B4-BE49-F238E27FC236}">
              <a16:creationId xmlns:a16="http://schemas.microsoft.com/office/drawing/2014/main" id="{308BCB2A-A0BA-6B0E-C20B-165AFDFF55A4}"/>
            </a:ext>
          </a:extLst>
        </xdr:cNvPr>
        <xdr:cNvCxnSpPr/>
      </xdr:nvCxnSpPr>
      <xdr:spPr>
        <a:xfrm>
          <a:off x="21189043" y="211912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20683</xdr:colOff>
      <xdr:row>61</xdr:row>
      <xdr:rowOff>19050</xdr:rowOff>
    </xdr:from>
    <xdr:to>
      <xdr:col>51</xdr:col>
      <xdr:colOff>125366</xdr:colOff>
      <xdr:row>61</xdr:row>
      <xdr:rowOff>133350</xdr:rowOff>
    </xdr:to>
    <xdr:sp macro="" textlink="">
      <xdr:nvSpPr>
        <xdr:cNvPr id="23017" name="58">
          <a:extLst>
            <a:ext uri="{FF2B5EF4-FFF2-40B4-BE49-F238E27FC236}">
              <a16:creationId xmlns:a16="http://schemas.microsoft.com/office/drawing/2014/main" id="{017BF115-4694-F59E-61E5-F0F0F2160E7F}"/>
            </a:ext>
          </a:extLst>
        </xdr:cNvPr>
        <xdr:cNvSpPr/>
      </xdr:nvSpPr>
      <xdr:spPr>
        <a:xfrm>
          <a:off x="21044263" y="20981670"/>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20683</xdr:colOff>
      <xdr:row>61</xdr:row>
      <xdr:rowOff>76200</xdr:rowOff>
    </xdr:from>
    <xdr:to>
      <xdr:col>51</xdr:col>
      <xdr:colOff>20683</xdr:colOff>
      <xdr:row>61</xdr:row>
      <xdr:rowOff>76200</xdr:rowOff>
    </xdr:to>
    <xdr:cxnSp macro="">
      <xdr:nvCxnSpPr>
        <xdr:cNvPr id="23018" name="직선 화살표 연결선 23017">
          <a:extLst>
            <a:ext uri="{FF2B5EF4-FFF2-40B4-BE49-F238E27FC236}">
              <a16:creationId xmlns:a16="http://schemas.microsoft.com/office/drawing/2014/main" id="{77BC683E-243D-6336-2733-54A27D6901A7}"/>
            </a:ext>
          </a:extLst>
        </xdr:cNvPr>
        <xdr:cNvCxnSpPr/>
      </xdr:nvCxnSpPr>
      <xdr:spPr>
        <a:xfrm>
          <a:off x="21044263" y="210388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20683</xdr:colOff>
      <xdr:row>60</xdr:row>
      <xdr:rowOff>19050</xdr:rowOff>
    </xdr:from>
    <xdr:to>
      <xdr:col>53</xdr:col>
      <xdr:colOff>125367</xdr:colOff>
      <xdr:row>60</xdr:row>
      <xdr:rowOff>133350</xdr:rowOff>
    </xdr:to>
    <xdr:sp macro="" textlink="">
      <xdr:nvSpPr>
        <xdr:cNvPr id="23019" name="57">
          <a:extLst>
            <a:ext uri="{FF2B5EF4-FFF2-40B4-BE49-F238E27FC236}">
              <a16:creationId xmlns:a16="http://schemas.microsoft.com/office/drawing/2014/main" id="{5360D998-B28D-CD46-51C6-A7632E1756EB}"/>
            </a:ext>
          </a:extLst>
        </xdr:cNvPr>
        <xdr:cNvSpPr/>
      </xdr:nvSpPr>
      <xdr:spPr>
        <a:xfrm>
          <a:off x="21044263" y="2082927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20683</xdr:colOff>
      <xdr:row>60</xdr:row>
      <xdr:rowOff>76200</xdr:rowOff>
    </xdr:from>
    <xdr:to>
      <xdr:col>51</xdr:col>
      <xdr:colOff>20683</xdr:colOff>
      <xdr:row>60</xdr:row>
      <xdr:rowOff>76200</xdr:rowOff>
    </xdr:to>
    <xdr:cxnSp macro="">
      <xdr:nvCxnSpPr>
        <xdr:cNvPr id="23020" name="직선 화살표 연결선 23019">
          <a:extLst>
            <a:ext uri="{FF2B5EF4-FFF2-40B4-BE49-F238E27FC236}">
              <a16:creationId xmlns:a16="http://schemas.microsoft.com/office/drawing/2014/main" id="{73DEF21C-F04F-FA25-E8C3-FDBDE391FEFF}"/>
            </a:ext>
          </a:extLst>
        </xdr:cNvPr>
        <xdr:cNvCxnSpPr/>
      </xdr:nvCxnSpPr>
      <xdr:spPr>
        <a:xfrm>
          <a:off x="21044263" y="208864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20682</xdr:colOff>
      <xdr:row>59</xdr:row>
      <xdr:rowOff>781050</xdr:rowOff>
    </xdr:from>
    <xdr:to>
      <xdr:col>50</xdr:col>
      <xdr:colOff>125368</xdr:colOff>
      <xdr:row>59</xdr:row>
      <xdr:rowOff>895350</xdr:rowOff>
    </xdr:to>
    <xdr:sp macro="" textlink="">
      <xdr:nvSpPr>
        <xdr:cNvPr id="23021" name="56">
          <a:extLst>
            <a:ext uri="{FF2B5EF4-FFF2-40B4-BE49-F238E27FC236}">
              <a16:creationId xmlns:a16="http://schemas.microsoft.com/office/drawing/2014/main" id="{007E5116-C1FB-C26B-7B44-7BC2E5ED5FA8}"/>
            </a:ext>
          </a:extLst>
        </xdr:cNvPr>
        <xdr:cNvSpPr/>
      </xdr:nvSpPr>
      <xdr:spPr>
        <a:xfrm>
          <a:off x="20754702" y="19914870"/>
          <a:ext cx="2494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20682</xdr:colOff>
      <xdr:row>59</xdr:row>
      <xdr:rowOff>838200</xdr:rowOff>
    </xdr:from>
    <xdr:to>
      <xdr:col>49</xdr:col>
      <xdr:colOff>20682</xdr:colOff>
      <xdr:row>59</xdr:row>
      <xdr:rowOff>838200</xdr:rowOff>
    </xdr:to>
    <xdr:cxnSp macro="">
      <xdr:nvCxnSpPr>
        <xdr:cNvPr id="23022" name="직선 화살표 연결선 23021">
          <a:extLst>
            <a:ext uri="{FF2B5EF4-FFF2-40B4-BE49-F238E27FC236}">
              <a16:creationId xmlns:a16="http://schemas.microsoft.com/office/drawing/2014/main" id="{B24720D6-28FE-23E3-DED0-C33C6B44E62E}"/>
            </a:ext>
          </a:extLst>
        </xdr:cNvPr>
        <xdr:cNvCxnSpPr/>
      </xdr:nvCxnSpPr>
      <xdr:spPr>
        <a:xfrm>
          <a:off x="20754702" y="199720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103414</xdr:colOff>
      <xdr:row>58</xdr:row>
      <xdr:rowOff>1367789</xdr:rowOff>
    </xdr:from>
    <xdr:to>
      <xdr:col>48</xdr:col>
      <xdr:colOff>125367</xdr:colOff>
      <xdr:row>58</xdr:row>
      <xdr:rowOff>1482089</xdr:rowOff>
    </xdr:to>
    <xdr:sp macro="" textlink="">
      <xdr:nvSpPr>
        <xdr:cNvPr id="23023" name="55">
          <a:extLst>
            <a:ext uri="{FF2B5EF4-FFF2-40B4-BE49-F238E27FC236}">
              <a16:creationId xmlns:a16="http://schemas.microsoft.com/office/drawing/2014/main" id="{FC1D0AE3-6EE3-B715-05E2-9CC572019EE0}"/>
            </a:ext>
          </a:extLst>
        </xdr:cNvPr>
        <xdr:cNvSpPr/>
      </xdr:nvSpPr>
      <xdr:spPr>
        <a:xfrm>
          <a:off x="20547874" y="17651729"/>
          <a:ext cx="1667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103414</xdr:colOff>
      <xdr:row>58</xdr:row>
      <xdr:rowOff>1424939</xdr:rowOff>
    </xdr:from>
    <xdr:to>
      <xdr:col>47</xdr:col>
      <xdr:colOff>103414</xdr:colOff>
      <xdr:row>58</xdr:row>
      <xdr:rowOff>1424939</xdr:rowOff>
    </xdr:to>
    <xdr:cxnSp macro="">
      <xdr:nvCxnSpPr>
        <xdr:cNvPr id="23024" name="직선 화살표 연결선 23023">
          <a:extLst>
            <a:ext uri="{FF2B5EF4-FFF2-40B4-BE49-F238E27FC236}">
              <a16:creationId xmlns:a16="http://schemas.microsoft.com/office/drawing/2014/main" id="{09D58CBA-43B2-1131-F74E-AE1AD3B6CF11}"/>
            </a:ext>
          </a:extLst>
        </xdr:cNvPr>
        <xdr:cNvCxnSpPr/>
      </xdr:nvCxnSpPr>
      <xdr:spPr>
        <a:xfrm>
          <a:off x="20547874" y="177088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20683</xdr:colOff>
      <xdr:row>57</xdr:row>
      <xdr:rowOff>1200149</xdr:rowOff>
    </xdr:from>
    <xdr:to>
      <xdr:col>47</xdr:col>
      <xdr:colOff>125367</xdr:colOff>
      <xdr:row>57</xdr:row>
      <xdr:rowOff>1314449</xdr:rowOff>
    </xdr:to>
    <xdr:sp macro="" textlink="">
      <xdr:nvSpPr>
        <xdr:cNvPr id="23025" name="54">
          <a:extLst>
            <a:ext uri="{FF2B5EF4-FFF2-40B4-BE49-F238E27FC236}">
              <a16:creationId xmlns:a16="http://schemas.microsoft.com/office/drawing/2014/main" id="{45A1C537-982C-87A4-EB9D-0751ECE15E4A}"/>
            </a:ext>
          </a:extLst>
        </xdr:cNvPr>
        <xdr:cNvSpPr/>
      </xdr:nvSpPr>
      <xdr:spPr>
        <a:xfrm>
          <a:off x="20465143" y="149694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20683</xdr:colOff>
      <xdr:row>57</xdr:row>
      <xdr:rowOff>1257299</xdr:rowOff>
    </xdr:from>
    <xdr:to>
      <xdr:col>47</xdr:col>
      <xdr:colOff>20683</xdr:colOff>
      <xdr:row>57</xdr:row>
      <xdr:rowOff>1257299</xdr:rowOff>
    </xdr:to>
    <xdr:cxnSp macro="">
      <xdr:nvCxnSpPr>
        <xdr:cNvPr id="23026" name="직선 화살표 연결선 23025">
          <a:extLst>
            <a:ext uri="{FF2B5EF4-FFF2-40B4-BE49-F238E27FC236}">
              <a16:creationId xmlns:a16="http://schemas.microsoft.com/office/drawing/2014/main" id="{A4DEAFB0-F744-81A1-7E0B-04F198CB357A}"/>
            </a:ext>
          </a:extLst>
        </xdr:cNvPr>
        <xdr:cNvCxnSpPr/>
      </xdr:nvCxnSpPr>
      <xdr:spPr>
        <a:xfrm>
          <a:off x="20465143" y="150266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20683</xdr:colOff>
      <xdr:row>56</xdr:row>
      <xdr:rowOff>445770</xdr:rowOff>
    </xdr:from>
    <xdr:to>
      <xdr:col>48</xdr:col>
      <xdr:colOff>125367</xdr:colOff>
      <xdr:row>56</xdr:row>
      <xdr:rowOff>560070</xdr:rowOff>
    </xdr:to>
    <xdr:sp macro="" textlink="">
      <xdr:nvSpPr>
        <xdr:cNvPr id="23027" name="53">
          <a:extLst>
            <a:ext uri="{FF2B5EF4-FFF2-40B4-BE49-F238E27FC236}">
              <a16:creationId xmlns:a16="http://schemas.microsoft.com/office/drawing/2014/main" id="{1BF6C0E5-664E-4967-DAB0-69F590801180}"/>
            </a:ext>
          </a:extLst>
        </xdr:cNvPr>
        <xdr:cNvSpPr/>
      </xdr:nvSpPr>
      <xdr:spPr>
        <a:xfrm>
          <a:off x="20465143" y="1320927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20683</xdr:colOff>
      <xdr:row>56</xdr:row>
      <xdr:rowOff>502920</xdr:rowOff>
    </xdr:from>
    <xdr:to>
      <xdr:col>47</xdr:col>
      <xdr:colOff>20683</xdr:colOff>
      <xdr:row>56</xdr:row>
      <xdr:rowOff>502920</xdr:rowOff>
    </xdr:to>
    <xdr:cxnSp macro="">
      <xdr:nvCxnSpPr>
        <xdr:cNvPr id="23028" name="직선 화살표 연결선 23027">
          <a:extLst>
            <a:ext uri="{FF2B5EF4-FFF2-40B4-BE49-F238E27FC236}">
              <a16:creationId xmlns:a16="http://schemas.microsoft.com/office/drawing/2014/main" id="{DE442A3A-91F3-284C-2C80-CA4F8B4E1008}"/>
            </a:ext>
          </a:extLst>
        </xdr:cNvPr>
        <xdr:cNvCxnSpPr/>
      </xdr:nvCxnSpPr>
      <xdr:spPr>
        <a:xfrm>
          <a:off x="20465143" y="132664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20682</xdr:colOff>
      <xdr:row>55</xdr:row>
      <xdr:rowOff>445770</xdr:rowOff>
    </xdr:from>
    <xdr:to>
      <xdr:col>46</xdr:col>
      <xdr:colOff>125366</xdr:colOff>
      <xdr:row>55</xdr:row>
      <xdr:rowOff>560070</xdr:rowOff>
    </xdr:to>
    <xdr:sp macro="" textlink="">
      <xdr:nvSpPr>
        <xdr:cNvPr id="23029" name="52">
          <a:extLst>
            <a:ext uri="{FF2B5EF4-FFF2-40B4-BE49-F238E27FC236}">
              <a16:creationId xmlns:a16="http://schemas.microsoft.com/office/drawing/2014/main" id="{A4A1A4B4-ABC1-3CEC-7405-2777CFCB6D93}"/>
            </a:ext>
          </a:extLst>
        </xdr:cNvPr>
        <xdr:cNvSpPr/>
      </xdr:nvSpPr>
      <xdr:spPr>
        <a:xfrm>
          <a:off x="20175582" y="122034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20682</xdr:colOff>
      <xdr:row>55</xdr:row>
      <xdr:rowOff>502920</xdr:rowOff>
    </xdr:from>
    <xdr:to>
      <xdr:col>45</xdr:col>
      <xdr:colOff>20682</xdr:colOff>
      <xdr:row>55</xdr:row>
      <xdr:rowOff>502920</xdr:rowOff>
    </xdr:to>
    <xdr:cxnSp macro="">
      <xdr:nvCxnSpPr>
        <xdr:cNvPr id="23030" name="직선 화살표 연결선 23029">
          <a:extLst>
            <a:ext uri="{FF2B5EF4-FFF2-40B4-BE49-F238E27FC236}">
              <a16:creationId xmlns:a16="http://schemas.microsoft.com/office/drawing/2014/main" id="{123910D1-9BF8-DD63-1C10-4432E0DE3314}"/>
            </a:ext>
          </a:extLst>
        </xdr:cNvPr>
        <xdr:cNvCxnSpPr/>
      </xdr:nvCxnSpPr>
      <xdr:spPr>
        <a:xfrm>
          <a:off x="20175582" y="1226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20682</xdr:colOff>
      <xdr:row>54</xdr:row>
      <xdr:rowOff>697230</xdr:rowOff>
    </xdr:from>
    <xdr:to>
      <xdr:col>46</xdr:col>
      <xdr:colOff>125366</xdr:colOff>
      <xdr:row>54</xdr:row>
      <xdr:rowOff>811530</xdr:rowOff>
    </xdr:to>
    <xdr:sp macro="" textlink="">
      <xdr:nvSpPr>
        <xdr:cNvPr id="23031" name="51">
          <a:extLst>
            <a:ext uri="{FF2B5EF4-FFF2-40B4-BE49-F238E27FC236}">
              <a16:creationId xmlns:a16="http://schemas.microsoft.com/office/drawing/2014/main" id="{D27F010B-3437-756C-FE82-09FCFF648884}"/>
            </a:ext>
          </a:extLst>
        </xdr:cNvPr>
        <xdr:cNvSpPr/>
      </xdr:nvSpPr>
      <xdr:spPr>
        <a:xfrm>
          <a:off x="20175582" y="109461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20682</xdr:colOff>
      <xdr:row>54</xdr:row>
      <xdr:rowOff>754380</xdr:rowOff>
    </xdr:from>
    <xdr:to>
      <xdr:col>45</xdr:col>
      <xdr:colOff>20682</xdr:colOff>
      <xdr:row>54</xdr:row>
      <xdr:rowOff>754380</xdr:rowOff>
    </xdr:to>
    <xdr:cxnSp macro="">
      <xdr:nvCxnSpPr>
        <xdr:cNvPr id="23032" name="직선 화살표 연결선 23031">
          <a:extLst>
            <a:ext uri="{FF2B5EF4-FFF2-40B4-BE49-F238E27FC236}">
              <a16:creationId xmlns:a16="http://schemas.microsoft.com/office/drawing/2014/main" id="{25D225E6-6638-0A62-39D3-D4C29BCDF80C}"/>
            </a:ext>
          </a:extLst>
        </xdr:cNvPr>
        <xdr:cNvCxnSpPr/>
      </xdr:nvCxnSpPr>
      <xdr:spPr>
        <a:xfrm>
          <a:off x="20175582" y="110032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20682</xdr:colOff>
      <xdr:row>53</xdr:row>
      <xdr:rowOff>19050</xdr:rowOff>
    </xdr:from>
    <xdr:to>
      <xdr:col>48</xdr:col>
      <xdr:colOff>125367</xdr:colOff>
      <xdr:row>53</xdr:row>
      <xdr:rowOff>133350</xdr:rowOff>
    </xdr:to>
    <xdr:sp macro="" textlink="">
      <xdr:nvSpPr>
        <xdr:cNvPr id="23034" name="50">
          <a:extLst>
            <a:ext uri="{FF2B5EF4-FFF2-40B4-BE49-F238E27FC236}">
              <a16:creationId xmlns:a16="http://schemas.microsoft.com/office/drawing/2014/main" id="{9C0E11BA-162B-BC81-F7F7-1868DFD7487D}"/>
            </a:ext>
          </a:extLst>
        </xdr:cNvPr>
        <xdr:cNvSpPr/>
      </xdr:nvSpPr>
      <xdr:spPr>
        <a:xfrm>
          <a:off x="20175582" y="10115550"/>
          <a:ext cx="5390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20682</xdr:colOff>
      <xdr:row>53</xdr:row>
      <xdr:rowOff>76200</xdr:rowOff>
    </xdr:from>
    <xdr:to>
      <xdr:col>45</xdr:col>
      <xdr:colOff>20682</xdr:colOff>
      <xdr:row>53</xdr:row>
      <xdr:rowOff>76200</xdr:rowOff>
    </xdr:to>
    <xdr:cxnSp macro="">
      <xdr:nvCxnSpPr>
        <xdr:cNvPr id="23035" name="직선 화살표 연결선 23034">
          <a:extLst>
            <a:ext uri="{FF2B5EF4-FFF2-40B4-BE49-F238E27FC236}">
              <a16:creationId xmlns:a16="http://schemas.microsoft.com/office/drawing/2014/main" id="{F7C38D57-E489-8432-A001-CF04980BAE3C}"/>
            </a:ext>
          </a:extLst>
        </xdr:cNvPr>
        <xdr:cNvCxnSpPr/>
      </xdr:nvCxnSpPr>
      <xdr:spPr>
        <a:xfrm>
          <a:off x="20175582" y="101727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20683</xdr:colOff>
      <xdr:row>52</xdr:row>
      <xdr:rowOff>19050</xdr:rowOff>
    </xdr:from>
    <xdr:to>
      <xdr:col>44</xdr:col>
      <xdr:colOff>125367</xdr:colOff>
      <xdr:row>52</xdr:row>
      <xdr:rowOff>133350</xdr:rowOff>
    </xdr:to>
    <xdr:sp macro="" textlink="">
      <xdr:nvSpPr>
        <xdr:cNvPr id="23036" name="49">
          <a:extLst>
            <a:ext uri="{FF2B5EF4-FFF2-40B4-BE49-F238E27FC236}">
              <a16:creationId xmlns:a16="http://schemas.microsoft.com/office/drawing/2014/main" id="{5B2AE9C2-AB85-16E8-950F-B1A43BA9D92C}"/>
            </a:ext>
          </a:extLst>
        </xdr:cNvPr>
        <xdr:cNvSpPr/>
      </xdr:nvSpPr>
      <xdr:spPr>
        <a:xfrm>
          <a:off x="19741243" y="9963150"/>
          <a:ext cx="3942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20683</xdr:colOff>
      <xdr:row>52</xdr:row>
      <xdr:rowOff>76200</xdr:rowOff>
    </xdr:from>
    <xdr:to>
      <xdr:col>42</xdr:col>
      <xdr:colOff>20683</xdr:colOff>
      <xdr:row>52</xdr:row>
      <xdr:rowOff>76200</xdr:rowOff>
    </xdr:to>
    <xdr:cxnSp macro="">
      <xdr:nvCxnSpPr>
        <xdr:cNvPr id="23037" name="직선 화살표 연결선 23036">
          <a:extLst>
            <a:ext uri="{FF2B5EF4-FFF2-40B4-BE49-F238E27FC236}">
              <a16:creationId xmlns:a16="http://schemas.microsoft.com/office/drawing/2014/main" id="{F713BF90-5E4F-48D4-330E-0ED33AC0E1DE}"/>
            </a:ext>
          </a:extLst>
        </xdr:cNvPr>
        <xdr:cNvCxnSpPr/>
      </xdr:nvCxnSpPr>
      <xdr:spPr>
        <a:xfrm>
          <a:off x="19741243" y="100203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20683</xdr:colOff>
      <xdr:row>51</xdr:row>
      <xdr:rowOff>19050</xdr:rowOff>
    </xdr:from>
    <xdr:to>
      <xdr:col>50</xdr:col>
      <xdr:colOff>125368</xdr:colOff>
      <xdr:row>51</xdr:row>
      <xdr:rowOff>133350</xdr:rowOff>
    </xdr:to>
    <xdr:sp macro="" textlink="">
      <xdr:nvSpPr>
        <xdr:cNvPr id="47104" name="48">
          <a:extLst>
            <a:ext uri="{FF2B5EF4-FFF2-40B4-BE49-F238E27FC236}">
              <a16:creationId xmlns:a16="http://schemas.microsoft.com/office/drawing/2014/main" id="{E3AFDEFD-E232-B10D-D694-E3B79148AFE9}"/>
            </a:ext>
          </a:extLst>
        </xdr:cNvPr>
        <xdr:cNvSpPr/>
      </xdr:nvSpPr>
      <xdr:spPr>
        <a:xfrm>
          <a:off x="19741243" y="9810750"/>
          <a:ext cx="12629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20683</xdr:colOff>
      <xdr:row>51</xdr:row>
      <xdr:rowOff>76200</xdr:rowOff>
    </xdr:from>
    <xdr:to>
      <xdr:col>42</xdr:col>
      <xdr:colOff>20683</xdr:colOff>
      <xdr:row>51</xdr:row>
      <xdr:rowOff>76200</xdr:rowOff>
    </xdr:to>
    <xdr:cxnSp macro="">
      <xdr:nvCxnSpPr>
        <xdr:cNvPr id="47105" name="직선 화살표 연결선 47104">
          <a:extLst>
            <a:ext uri="{FF2B5EF4-FFF2-40B4-BE49-F238E27FC236}">
              <a16:creationId xmlns:a16="http://schemas.microsoft.com/office/drawing/2014/main" id="{3A8EC32C-4D2D-A0B2-1908-20331D3721DA}"/>
            </a:ext>
          </a:extLst>
        </xdr:cNvPr>
        <xdr:cNvCxnSpPr/>
      </xdr:nvCxnSpPr>
      <xdr:spPr>
        <a:xfrm>
          <a:off x="19741243" y="98679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20683</xdr:colOff>
      <xdr:row>50</xdr:row>
      <xdr:rowOff>19050</xdr:rowOff>
    </xdr:from>
    <xdr:to>
      <xdr:col>48</xdr:col>
      <xdr:colOff>125367</xdr:colOff>
      <xdr:row>50</xdr:row>
      <xdr:rowOff>133350</xdr:rowOff>
    </xdr:to>
    <xdr:sp macro="" textlink="">
      <xdr:nvSpPr>
        <xdr:cNvPr id="47106" name="47">
          <a:extLst>
            <a:ext uri="{FF2B5EF4-FFF2-40B4-BE49-F238E27FC236}">
              <a16:creationId xmlns:a16="http://schemas.microsoft.com/office/drawing/2014/main" id="{806016C8-08AA-435B-9C81-1AFF0A2E7777}"/>
            </a:ext>
          </a:extLst>
        </xdr:cNvPr>
        <xdr:cNvSpPr/>
      </xdr:nvSpPr>
      <xdr:spPr>
        <a:xfrm>
          <a:off x="20465143" y="965835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20683</xdr:colOff>
      <xdr:row>50</xdr:row>
      <xdr:rowOff>76200</xdr:rowOff>
    </xdr:from>
    <xdr:to>
      <xdr:col>47</xdr:col>
      <xdr:colOff>20683</xdr:colOff>
      <xdr:row>50</xdr:row>
      <xdr:rowOff>76200</xdr:rowOff>
    </xdr:to>
    <xdr:cxnSp macro="">
      <xdr:nvCxnSpPr>
        <xdr:cNvPr id="47107" name="직선 화살표 연결선 47106">
          <a:extLst>
            <a:ext uri="{FF2B5EF4-FFF2-40B4-BE49-F238E27FC236}">
              <a16:creationId xmlns:a16="http://schemas.microsoft.com/office/drawing/2014/main" id="{9411A051-4A7A-DF7D-674D-F94DCAF883F5}"/>
            </a:ext>
          </a:extLst>
        </xdr:cNvPr>
        <xdr:cNvCxnSpPr/>
      </xdr:nvCxnSpPr>
      <xdr:spPr>
        <a:xfrm>
          <a:off x="20465143" y="97155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20682</xdr:colOff>
      <xdr:row>49</xdr:row>
      <xdr:rowOff>19050</xdr:rowOff>
    </xdr:from>
    <xdr:to>
      <xdr:col>46</xdr:col>
      <xdr:colOff>125366</xdr:colOff>
      <xdr:row>49</xdr:row>
      <xdr:rowOff>133350</xdr:rowOff>
    </xdr:to>
    <xdr:sp macro="" textlink="">
      <xdr:nvSpPr>
        <xdr:cNvPr id="47108" name="46">
          <a:extLst>
            <a:ext uri="{FF2B5EF4-FFF2-40B4-BE49-F238E27FC236}">
              <a16:creationId xmlns:a16="http://schemas.microsoft.com/office/drawing/2014/main" id="{2B39565C-A9E4-53DB-63EA-7FB235B8A929}"/>
            </a:ext>
          </a:extLst>
        </xdr:cNvPr>
        <xdr:cNvSpPr/>
      </xdr:nvSpPr>
      <xdr:spPr>
        <a:xfrm>
          <a:off x="20175582" y="950595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20682</xdr:colOff>
      <xdr:row>49</xdr:row>
      <xdr:rowOff>76200</xdr:rowOff>
    </xdr:from>
    <xdr:to>
      <xdr:col>45</xdr:col>
      <xdr:colOff>20682</xdr:colOff>
      <xdr:row>49</xdr:row>
      <xdr:rowOff>76200</xdr:rowOff>
    </xdr:to>
    <xdr:cxnSp macro="">
      <xdr:nvCxnSpPr>
        <xdr:cNvPr id="47109" name="직선 화살표 연결선 47108">
          <a:extLst>
            <a:ext uri="{FF2B5EF4-FFF2-40B4-BE49-F238E27FC236}">
              <a16:creationId xmlns:a16="http://schemas.microsoft.com/office/drawing/2014/main" id="{49EF10F0-CF17-7377-AA1B-C36E08466591}"/>
            </a:ext>
          </a:extLst>
        </xdr:cNvPr>
        <xdr:cNvCxnSpPr/>
      </xdr:nvCxnSpPr>
      <xdr:spPr>
        <a:xfrm>
          <a:off x="20175582" y="95631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20683</xdr:colOff>
      <xdr:row>48</xdr:row>
      <xdr:rowOff>19050</xdr:rowOff>
    </xdr:from>
    <xdr:to>
      <xdr:col>44</xdr:col>
      <xdr:colOff>125367</xdr:colOff>
      <xdr:row>48</xdr:row>
      <xdr:rowOff>133350</xdr:rowOff>
    </xdr:to>
    <xdr:sp macro="" textlink="">
      <xdr:nvSpPr>
        <xdr:cNvPr id="47110" name="45">
          <a:extLst>
            <a:ext uri="{FF2B5EF4-FFF2-40B4-BE49-F238E27FC236}">
              <a16:creationId xmlns:a16="http://schemas.microsoft.com/office/drawing/2014/main" id="{F0EAC245-F5DA-D3DC-2E85-246F1AD24971}"/>
            </a:ext>
          </a:extLst>
        </xdr:cNvPr>
        <xdr:cNvSpPr/>
      </xdr:nvSpPr>
      <xdr:spPr>
        <a:xfrm>
          <a:off x="19886023" y="935355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20683</xdr:colOff>
      <xdr:row>48</xdr:row>
      <xdr:rowOff>76200</xdr:rowOff>
    </xdr:from>
    <xdr:to>
      <xdr:col>43</xdr:col>
      <xdr:colOff>20683</xdr:colOff>
      <xdr:row>48</xdr:row>
      <xdr:rowOff>76200</xdr:rowOff>
    </xdr:to>
    <xdr:cxnSp macro="">
      <xdr:nvCxnSpPr>
        <xdr:cNvPr id="47111" name="직선 화살표 연결선 47110">
          <a:extLst>
            <a:ext uri="{FF2B5EF4-FFF2-40B4-BE49-F238E27FC236}">
              <a16:creationId xmlns:a16="http://schemas.microsoft.com/office/drawing/2014/main" id="{4228997F-6A4E-C273-15C7-4869295667F4}"/>
            </a:ext>
          </a:extLst>
        </xdr:cNvPr>
        <xdr:cNvCxnSpPr/>
      </xdr:nvCxnSpPr>
      <xdr:spPr>
        <a:xfrm>
          <a:off x="19886023" y="94107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20683</xdr:colOff>
      <xdr:row>47</xdr:row>
      <xdr:rowOff>19050</xdr:rowOff>
    </xdr:from>
    <xdr:to>
      <xdr:col>42</xdr:col>
      <xdr:colOff>125367</xdr:colOff>
      <xdr:row>47</xdr:row>
      <xdr:rowOff>133350</xdr:rowOff>
    </xdr:to>
    <xdr:sp macro="" textlink="">
      <xdr:nvSpPr>
        <xdr:cNvPr id="47112" name="44">
          <a:extLst>
            <a:ext uri="{FF2B5EF4-FFF2-40B4-BE49-F238E27FC236}">
              <a16:creationId xmlns:a16="http://schemas.microsoft.com/office/drawing/2014/main" id="{774CA5E0-A16B-7FBF-48DB-D3CECDE92F43}"/>
            </a:ext>
          </a:extLst>
        </xdr:cNvPr>
        <xdr:cNvSpPr/>
      </xdr:nvSpPr>
      <xdr:spPr>
        <a:xfrm>
          <a:off x="19596463" y="920115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20683</xdr:colOff>
      <xdr:row>47</xdr:row>
      <xdr:rowOff>76200</xdr:rowOff>
    </xdr:from>
    <xdr:to>
      <xdr:col>41</xdr:col>
      <xdr:colOff>20683</xdr:colOff>
      <xdr:row>47</xdr:row>
      <xdr:rowOff>76200</xdr:rowOff>
    </xdr:to>
    <xdr:cxnSp macro="">
      <xdr:nvCxnSpPr>
        <xdr:cNvPr id="47113" name="직선 화살표 연결선 47112">
          <a:extLst>
            <a:ext uri="{FF2B5EF4-FFF2-40B4-BE49-F238E27FC236}">
              <a16:creationId xmlns:a16="http://schemas.microsoft.com/office/drawing/2014/main" id="{3EDCF5C5-F993-B51F-06BB-3A8EBFDFB4E4}"/>
            </a:ext>
          </a:extLst>
        </xdr:cNvPr>
        <xdr:cNvCxnSpPr/>
      </xdr:nvCxnSpPr>
      <xdr:spPr>
        <a:xfrm>
          <a:off x="19596463" y="92583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20683</xdr:colOff>
      <xdr:row>46</xdr:row>
      <xdr:rowOff>19050</xdr:rowOff>
    </xdr:from>
    <xdr:to>
      <xdr:col>40</xdr:col>
      <xdr:colOff>125368</xdr:colOff>
      <xdr:row>46</xdr:row>
      <xdr:rowOff>133350</xdr:rowOff>
    </xdr:to>
    <xdr:sp macro="" textlink="">
      <xdr:nvSpPr>
        <xdr:cNvPr id="47114" name="43">
          <a:extLst>
            <a:ext uri="{FF2B5EF4-FFF2-40B4-BE49-F238E27FC236}">
              <a16:creationId xmlns:a16="http://schemas.microsoft.com/office/drawing/2014/main" id="{CE16B337-8D2C-A62D-2B8A-6F52E93337DB}"/>
            </a:ext>
          </a:extLst>
        </xdr:cNvPr>
        <xdr:cNvSpPr/>
      </xdr:nvSpPr>
      <xdr:spPr>
        <a:xfrm>
          <a:off x="19162123" y="9048750"/>
          <a:ext cx="3942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20683</xdr:colOff>
      <xdr:row>46</xdr:row>
      <xdr:rowOff>76200</xdr:rowOff>
    </xdr:from>
    <xdr:to>
      <xdr:col>38</xdr:col>
      <xdr:colOff>20683</xdr:colOff>
      <xdr:row>46</xdr:row>
      <xdr:rowOff>76200</xdr:rowOff>
    </xdr:to>
    <xdr:cxnSp macro="">
      <xdr:nvCxnSpPr>
        <xdr:cNvPr id="47115" name="직선 화살표 연결선 47114">
          <a:extLst>
            <a:ext uri="{FF2B5EF4-FFF2-40B4-BE49-F238E27FC236}">
              <a16:creationId xmlns:a16="http://schemas.microsoft.com/office/drawing/2014/main" id="{5D511C83-C7F2-510D-77C0-56166D73F544}"/>
            </a:ext>
          </a:extLst>
        </xdr:cNvPr>
        <xdr:cNvCxnSpPr/>
      </xdr:nvCxnSpPr>
      <xdr:spPr>
        <a:xfrm>
          <a:off x="19162123" y="91059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45</xdr:row>
      <xdr:rowOff>19050</xdr:rowOff>
    </xdr:from>
    <xdr:to>
      <xdr:col>37</xdr:col>
      <xdr:colOff>125367</xdr:colOff>
      <xdr:row>45</xdr:row>
      <xdr:rowOff>133350</xdr:rowOff>
    </xdr:to>
    <xdr:sp macro="" textlink="">
      <xdr:nvSpPr>
        <xdr:cNvPr id="47116" name="42">
          <a:extLst>
            <a:ext uri="{FF2B5EF4-FFF2-40B4-BE49-F238E27FC236}">
              <a16:creationId xmlns:a16="http://schemas.microsoft.com/office/drawing/2014/main" id="{EC9B89B6-03D9-4A40-F9FE-4CAD7DB068E9}"/>
            </a:ext>
          </a:extLst>
        </xdr:cNvPr>
        <xdr:cNvSpPr/>
      </xdr:nvSpPr>
      <xdr:spPr>
        <a:xfrm>
          <a:off x="19017343" y="889635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45</xdr:row>
      <xdr:rowOff>76200</xdr:rowOff>
    </xdr:from>
    <xdr:to>
      <xdr:col>37</xdr:col>
      <xdr:colOff>20683</xdr:colOff>
      <xdr:row>45</xdr:row>
      <xdr:rowOff>76200</xdr:rowOff>
    </xdr:to>
    <xdr:cxnSp macro="">
      <xdr:nvCxnSpPr>
        <xdr:cNvPr id="47117" name="직선 화살표 연결선 47116">
          <a:extLst>
            <a:ext uri="{FF2B5EF4-FFF2-40B4-BE49-F238E27FC236}">
              <a16:creationId xmlns:a16="http://schemas.microsoft.com/office/drawing/2014/main" id="{1A97432C-250E-1AD7-BD89-ED1A2DCCACC4}"/>
            </a:ext>
          </a:extLst>
        </xdr:cNvPr>
        <xdr:cNvCxnSpPr/>
      </xdr:nvCxnSpPr>
      <xdr:spPr>
        <a:xfrm>
          <a:off x="19017343" y="89535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44</xdr:row>
      <xdr:rowOff>19050</xdr:rowOff>
    </xdr:from>
    <xdr:to>
      <xdr:col>48</xdr:col>
      <xdr:colOff>125367</xdr:colOff>
      <xdr:row>44</xdr:row>
      <xdr:rowOff>133350</xdr:rowOff>
    </xdr:to>
    <xdr:sp macro="" textlink="">
      <xdr:nvSpPr>
        <xdr:cNvPr id="47118" name="41">
          <a:extLst>
            <a:ext uri="{FF2B5EF4-FFF2-40B4-BE49-F238E27FC236}">
              <a16:creationId xmlns:a16="http://schemas.microsoft.com/office/drawing/2014/main" id="{4FBF1D7A-9211-CFC8-DBD1-AC63029BC4B7}"/>
            </a:ext>
          </a:extLst>
        </xdr:cNvPr>
        <xdr:cNvSpPr/>
      </xdr:nvSpPr>
      <xdr:spPr>
        <a:xfrm>
          <a:off x="19017343" y="8743950"/>
          <a:ext cx="16972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44</xdr:row>
      <xdr:rowOff>76200</xdr:rowOff>
    </xdr:from>
    <xdr:to>
      <xdr:col>37</xdr:col>
      <xdr:colOff>20683</xdr:colOff>
      <xdr:row>44</xdr:row>
      <xdr:rowOff>76200</xdr:rowOff>
    </xdr:to>
    <xdr:cxnSp macro="">
      <xdr:nvCxnSpPr>
        <xdr:cNvPr id="47119" name="직선 화살표 연결선 47118">
          <a:extLst>
            <a:ext uri="{FF2B5EF4-FFF2-40B4-BE49-F238E27FC236}">
              <a16:creationId xmlns:a16="http://schemas.microsoft.com/office/drawing/2014/main" id="{D966C1C7-2094-5D0A-9ABD-7AE47DB1BAA3}"/>
            </a:ext>
          </a:extLst>
        </xdr:cNvPr>
        <xdr:cNvCxnSpPr/>
      </xdr:nvCxnSpPr>
      <xdr:spPr>
        <a:xfrm>
          <a:off x="19017343" y="88011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20683</xdr:colOff>
      <xdr:row>43</xdr:row>
      <xdr:rowOff>110490</xdr:rowOff>
    </xdr:from>
    <xdr:to>
      <xdr:col>53</xdr:col>
      <xdr:colOff>63318</xdr:colOff>
      <xdr:row>43</xdr:row>
      <xdr:rowOff>224790</xdr:rowOff>
    </xdr:to>
    <xdr:sp macro="" textlink="">
      <xdr:nvSpPr>
        <xdr:cNvPr id="47120" name="40">
          <a:extLst>
            <a:ext uri="{FF2B5EF4-FFF2-40B4-BE49-F238E27FC236}">
              <a16:creationId xmlns:a16="http://schemas.microsoft.com/office/drawing/2014/main" id="{3B9E3D08-F2DF-2C14-40FA-89A6195DE968}"/>
            </a:ext>
          </a:extLst>
        </xdr:cNvPr>
        <xdr:cNvSpPr/>
      </xdr:nvSpPr>
      <xdr:spPr>
        <a:xfrm>
          <a:off x="21333823" y="850011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20683</xdr:colOff>
      <xdr:row>43</xdr:row>
      <xdr:rowOff>167640</xdr:rowOff>
    </xdr:from>
    <xdr:to>
      <xdr:col>53</xdr:col>
      <xdr:colOff>20683</xdr:colOff>
      <xdr:row>43</xdr:row>
      <xdr:rowOff>167640</xdr:rowOff>
    </xdr:to>
    <xdr:cxnSp macro="">
      <xdr:nvCxnSpPr>
        <xdr:cNvPr id="47121" name="직선 화살표 연결선 47120">
          <a:extLst>
            <a:ext uri="{FF2B5EF4-FFF2-40B4-BE49-F238E27FC236}">
              <a16:creationId xmlns:a16="http://schemas.microsoft.com/office/drawing/2014/main" id="{CF493CC9-D0FF-C350-29DA-E5E371D7256F}"/>
            </a:ext>
          </a:extLst>
        </xdr:cNvPr>
        <xdr:cNvCxnSpPr/>
      </xdr:nvCxnSpPr>
      <xdr:spPr>
        <a:xfrm>
          <a:off x="21333823" y="85572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20683</xdr:colOff>
      <xdr:row>42</xdr:row>
      <xdr:rowOff>19050</xdr:rowOff>
    </xdr:from>
    <xdr:to>
      <xdr:col>53</xdr:col>
      <xdr:colOff>63318</xdr:colOff>
      <xdr:row>42</xdr:row>
      <xdr:rowOff>133350</xdr:rowOff>
    </xdr:to>
    <xdr:sp macro="" textlink="">
      <xdr:nvSpPr>
        <xdr:cNvPr id="47122" name="39">
          <a:extLst>
            <a:ext uri="{FF2B5EF4-FFF2-40B4-BE49-F238E27FC236}">
              <a16:creationId xmlns:a16="http://schemas.microsoft.com/office/drawing/2014/main" id="{E6711459-4AEA-B339-AF27-1D158DD11765}"/>
            </a:ext>
          </a:extLst>
        </xdr:cNvPr>
        <xdr:cNvSpPr/>
      </xdr:nvSpPr>
      <xdr:spPr>
        <a:xfrm>
          <a:off x="21333823" y="8256270"/>
          <a:ext cx="426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20683</xdr:colOff>
      <xdr:row>42</xdr:row>
      <xdr:rowOff>76200</xdr:rowOff>
    </xdr:from>
    <xdr:to>
      <xdr:col>53</xdr:col>
      <xdr:colOff>20683</xdr:colOff>
      <xdr:row>42</xdr:row>
      <xdr:rowOff>76200</xdr:rowOff>
    </xdr:to>
    <xdr:cxnSp macro="">
      <xdr:nvCxnSpPr>
        <xdr:cNvPr id="47123" name="직선 화살표 연결선 47122">
          <a:extLst>
            <a:ext uri="{FF2B5EF4-FFF2-40B4-BE49-F238E27FC236}">
              <a16:creationId xmlns:a16="http://schemas.microsoft.com/office/drawing/2014/main" id="{A887DC5F-441E-E9FE-FB3A-2A44D02B18FF}"/>
            </a:ext>
          </a:extLst>
        </xdr:cNvPr>
        <xdr:cNvCxnSpPr/>
      </xdr:nvCxnSpPr>
      <xdr:spPr>
        <a:xfrm>
          <a:off x="21333823" y="83134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20683</xdr:colOff>
      <xdr:row>41</xdr:row>
      <xdr:rowOff>19050</xdr:rowOff>
    </xdr:from>
    <xdr:to>
      <xdr:col>52</xdr:col>
      <xdr:colOff>125367</xdr:colOff>
      <xdr:row>41</xdr:row>
      <xdr:rowOff>133350</xdr:rowOff>
    </xdr:to>
    <xdr:sp macro="" textlink="">
      <xdr:nvSpPr>
        <xdr:cNvPr id="47124" name="38">
          <a:extLst>
            <a:ext uri="{FF2B5EF4-FFF2-40B4-BE49-F238E27FC236}">
              <a16:creationId xmlns:a16="http://schemas.microsoft.com/office/drawing/2014/main" id="{78DCBA0C-D416-D986-FECC-6881D22A666F}"/>
            </a:ext>
          </a:extLst>
        </xdr:cNvPr>
        <xdr:cNvSpPr/>
      </xdr:nvSpPr>
      <xdr:spPr>
        <a:xfrm>
          <a:off x="21189043" y="810387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20683</xdr:colOff>
      <xdr:row>41</xdr:row>
      <xdr:rowOff>76200</xdr:rowOff>
    </xdr:from>
    <xdr:to>
      <xdr:col>52</xdr:col>
      <xdr:colOff>20683</xdr:colOff>
      <xdr:row>41</xdr:row>
      <xdr:rowOff>76200</xdr:rowOff>
    </xdr:to>
    <xdr:cxnSp macro="">
      <xdr:nvCxnSpPr>
        <xdr:cNvPr id="47125" name="직선 화살표 연결선 47124">
          <a:extLst>
            <a:ext uri="{FF2B5EF4-FFF2-40B4-BE49-F238E27FC236}">
              <a16:creationId xmlns:a16="http://schemas.microsoft.com/office/drawing/2014/main" id="{6F3828FC-49A4-C3CF-5096-F7579C7FCB67}"/>
            </a:ext>
          </a:extLst>
        </xdr:cNvPr>
        <xdr:cNvCxnSpPr/>
      </xdr:nvCxnSpPr>
      <xdr:spPr>
        <a:xfrm>
          <a:off x="21189043" y="81610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20682</xdr:colOff>
      <xdr:row>40</xdr:row>
      <xdr:rowOff>19050</xdr:rowOff>
    </xdr:from>
    <xdr:to>
      <xdr:col>51</xdr:col>
      <xdr:colOff>125366</xdr:colOff>
      <xdr:row>40</xdr:row>
      <xdr:rowOff>133350</xdr:rowOff>
    </xdr:to>
    <xdr:sp macro="" textlink="">
      <xdr:nvSpPr>
        <xdr:cNvPr id="47126" name="37">
          <a:extLst>
            <a:ext uri="{FF2B5EF4-FFF2-40B4-BE49-F238E27FC236}">
              <a16:creationId xmlns:a16="http://schemas.microsoft.com/office/drawing/2014/main" id="{C5385DA8-66AE-268F-87B8-501B60E9513C}"/>
            </a:ext>
          </a:extLst>
        </xdr:cNvPr>
        <xdr:cNvSpPr/>
      </xdr:nvSpPr>
      <xdr:spPr>
        <a:xfrm>
          <a:off x="20754702" y="7951470"/>
          <a:ext cx="3942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20682</xdr:colOff>
      <xdr:row>40</xdr:row>
      <xdr:rowOff>76200</xdr:rowOff>
    </xdr:from>
    <xdr:to>
      <xdr:col>49</xdr:col>
      <xdr:colOff>20682</xdr:colOff>
      <xdr:row>40</xdr:row>
      <xdr:rowOff>76200</xdr:rowOff>
    </xdr:to>
    <xdr:cxnSp macro="">
      <xdr:nvCxnSpPr>
        <xdr:cNvPr id="47127" name="직선 화살표 연결선 47126">
          <a:extLst>
            <a:ext uri="{FF2B5EF4-FFF2-40B4-BE49-F238E27FC236}">
              <a16:creationId xmlns:a16="http://schemas.microsoft.com/office/drawing/2014/main" id="{EC4E305D-63CA-3484-7EB3-14D0AA06BF64}"/>
            </a:ext>
          </a:extLst>
        </xdr:cNvPr>
        <xdr:cNvCxnSpPr/>
      </xdr:nvCxnSpPr>
      <xdr:spPr>
        <a:xfrm>
          <a:off x="20754702" y="80086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103414</xdr:colOff>
      <xdr:row>39</xdr:row>
      <xdr:rowOff>864870</xdr:rowOff>
    </xdr:from>
    <xdr:to>
      <xdr:col>50</xdr:col>
      <xdr:colOff>125368</xdr:colOff>
      <xdr:row>39</xdr:row>
      <xdr:rowOff>979170</xdr:rowOff>
    </xdr:to>
    <xdr:sp macro="" textlink="">
      <xdr:nvSpPr>
        <xdr:cNvPr id="47128" name="36">
          <a:extLst>
            <a:ext uri="{FF2B5EF4-FFF2-40B4-BE49-F238E27FC236}">
              <a16:creationId xmlns:a16="http://schemas.microsoft.com/office/drawing/2014/main" id="{91C81C28-7A5D-9A35-B2CC-5CAB16790CEB}"/>
            </a:ext>
          </a:extLst>
        </xdr:cNvPr>
        <xdr:cNvSpPr/>
      </xdr:nvSpPr>
      <xdr:spPr>
        <a:xfrm>
          <a:off x="20113534" y="6953250"/>
          <a:ext cx="8906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103414</xdr:colOff>
      <xdr:row>39</xdr:row>
      <xdr:rowOff>922020</xdr:rowOff>
    </xdr:from>
    <xdr:to>
      <xdr:col>44</xdr:col>
      <xdr:colOff>103414</xdr:colOff>
      <xdr:row>39</xdr:row>
      <xdr:rowOff>922020</xdr:rowOff>
    </xdr:to>
    <xdr:cxnSp macro="">
      <xdr:nvCxnSpPr>
        <xdr:cNvPr id="47129" name="직선 화살표 연결선 47128">
          <a:extLst>
            <a:ext uri="{FF2B5EF4-FFF2-40B4-BE49-F238E27FC236}">
              <a16:creationId xmlns:a16="http://schemas.microsoft.com/office/drawing/2014/main" id="{15111CAB-6B54-D324-5292-B7DE7627A788}"/>
            </a:ext>
          </a:extLst>
        </xdr:cNvPr>
        <xdr:cNvCxnSpPr/>
      </xdr:nvCxnSpPr>
      <xdr:spPr>
        <a:xfrm>
          <a:off x="20113534" y="7010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82731</xdr:colOff>
      <xdr:row>38</xdr:row>
      <xdr:rowOff>19050</xdr:rowOff>
    </xdr:from>
    <xdr:to>
      <xdr:col>46</xdr:col>
      <xdr:colOff>125366</xdr:colOff>
      <xdr:row>38</xdr:row>
      <xdr:rowOff>133350</xdr:rowOff>
    </xdr:to>
    <xdr:sp macro="" textlink="">
      <xdr:nvSpPr>
        <xdr:cNvPr id="47130" name="35">
          <a:extLst>
            <a:ext uri="{FF2B5EF4-FFF2-40B4-BE49-F238E27FC236}">
              <a16:creationId xmlns:a16="http://schemas.microsoft.com/office/drawing/2014/main" id="{27205C40-84B3-62A2-BBF8-67B22F1CDC09}"/>
            </a:ext>
          </a:extLst>
        </xdr:cNvPr>
        <xdr:cNvSpPr/>
      </xdr:nvSpPr>
      <xdr:spPr>
        <a:xfrm>
          <a:off x="20092851" y="5955030"/>
          <a:ext cx="33219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82731</xdr:colOff>
      <xdr:row>38</xdr:row>
      <xdr:rowOff>76200</xdr:rowOff>
    </xdr:from>
    <xdr:to>
      <xdr:col>44</xdr:col>
      <xdr:colOff>82731</xdr:colOff>
      <xdr:row>38</xdr:row>
      <xdr:rowOff>76200</xdr:rowOff>
    </xdr:to>
    <xdr:cxnSp macro="">
      <xdr:nvCxnSpPr>
        <xdr:cNvPr id="47131" name="직선 화살표 연결선 47130">
          <a:extLst>
            <a:ext uri="{FF2B5EF4-FFF2-40B4-BE49-F238E27FC236}">
              <a16:creationId xmlns:a16="http://schemas.microsoft.com/office/drawing/2014/main" id="{859ABCA3-EE9B-58E0-EEEF-DF37EA95C651}"/>
            </a:ext>
          </a:extLst>
        </xdr:cNvPr>
        <xdr:cNvCxnSpPr/>
      </xdr:nvCxnSpPr>
      <xdr:spPr>
        <a:xfrm>
          <a:off x="20092851" y="601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82731</xdr:colOff>
      <xdr:row>37</xdr:row>
      <xdr:rowOff>19050</xdr:rowOff>
    </xdr:from>
    <xdr:to>
      <xdr:col>52</xdr:col>
      <xdr:colOff>125367</xdr:colOff>
      <xdr:row>37</xdr:row>
      <xdr:rowOff>133350</xdr:rowOff>
    </xdr:to>
    <xdr:sp macro="" textlink="">
      <xdr:nvSpPr>
        <xdr:cNvPr id="47132" name="34">
          <a:extLst>
            <a:ext uri="{FF2B5EF4-FFF2-40B4-BE49-F238E27FC236}">
              <a16:creationId xmlns:a16="http://schemas.microsoft.com/office/drawing/2014/main" id="{61F95B98-9261-EECC-3C2C-272968D67CBC}"/>
            </a:ext>
          </a:extLst>
        </xdr:cNvPr>
        <xdr:cNvSpPr/>
      </xdr:nvSpPr>
      <xdr:spPr>
        <a:xfrm>
          <a:off x="20092851" y="5802630"/>
          <a:ext cx="120087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82731</xdr:colOff>
      <xdr:row>37</xdr:row>
      <xdr:rowOff>76200</xdr:rowOff>
    </xdr:from>
    <xdr:to>
      <xdr:col>44</xdr:col>
      <xdr:colOff>82731</xdr:colOff>
      <xdr:row>37</xdr:row>
      <xdr:rowOff>76200</xdr:rowOff>
    </xdr:to>
    <xdr:cxnSp macro="">
      <xdr:nvCxnSpPr>
        <xdr:cNvPr id="47133" name="직선 화살표 연결선 47132">
          <a:extLst>
            <a:ext uri="{FF2B5EF4-FFF2-40B4-BE49-F238E27FC236}">
              <a16:creationId xmlns:a16="http://schemas.microsoft.com/office/drawing/2014/main" id="{5FC90B06-80EE-3AC7-2A69-191E0EC72B43}"/>
            </a:ext>
          </a:extLst>
        </xdr:cNvPr>
        <xdr:cNvCxnSpPr/>
      </xdr:nvCxnSpPr>
      <xdr:spPr>
        <a:xfrm>
          <a:off x="20092851" y="585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20683</xdr:colOff>
      <xdr:row>36</xdr:row>
      <xdr:rowOff>19050</xdr:rowOff>
    </xdr:from>
    <xdr:to>
      <xdr:col>42</xdr:col>
      <xdr:colOff>125367</xdr:colOff>
      <xdr:row>36</xdr:row>
      <xdr:rowOff>133350</xdr:rowOff>
    </xdr:to>
    <xdr:sp macro="" textlink="">
      <xdr:nvSpPr>
        <xdr:cNvPr id="47134" name="33">
          <a:extLst>
            <a:ext uri="{FF2B5EF4-FFF2-40B4-BE49-F238E27FC236}">
              <a16:creationId xmlns:a16="http://schemas.microsoft.com/office/drawing/2014/main" id="{8FB5223E-9608-41D1-09B6-A9D6833737E1}"/>
            </a:ext>
          </a:extLst>
        </xdr:cNvPr>
        <xdr:cNvSpPr/>
      </xdr:nvSpPr>
      <xdr:spPr>
        <a:xfrm>
          <a:off x="19741243" y="56502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20683</xdr:colOff>
      <xdr:row>36</xdr:row>
      <xdr:rowOff>76200</xdr:rowOff>
    </xdr:from>
    <xdr:to>
      <xdr:col>42</xdr:col>
      <xdr:colOff>20683</xdr:colOff>
      <xdr:row>36</xdr:row>
      <xdr:rowOff>76200</xdr:rowOff>
    </xdr:to>
    <xdr:cxnSp macro="">
      <xdr:nvCxnSpPr>
        <xdr:cNvPr id="47135" name="직선 화살표 연결선 47134">
          <a:extLst>
            <a:ext uri="{FF2B5EF4-FFF2-40B4-BE49-F238E27FC236}">
              <a16:creationId xmlns:a16="http://schemas.microsoft.com/office/drawing/2014/main" id="{A98BC896-5458-2510-11F8-E1E461AC4F47}"/>
            </a:ext>
          </a:extLst>
        </xdr:cNvPr>
        <xdr:cNvCxnSpPr/>
      </xdr:nvCxnSpPr>
      <xdr:spPr>
        <a:xfrm>
          <a:off x="19741243" y="570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20682</xdr:colOff>
      <xdr:row>35</xdr:row>
      <xdr:rowOff>19050</xdr:rowOff>
    </xdr:from>
    <xdr:to>
      <xdr:col>45</xdr:col>
      <xdr:colOff>125368</xdr:colOff>
      <xdr:row>35</xdr:row>
      <xdr:rowOff>133350</xdr:rowOff>
    </xdr:to>
    <xdr:sp macro="" textlink="">
      <xdr:nvSpPr>
        <xdr:cNvPr id="47136" name="32">
          <a:extLst>
            <a:ext uri="{FF2B5EF4-FFF2-40B4-BE49-F238E27FC236}">
              <a16:creationId xmlns:a16="http://schemas.microsoft.com/office/drawing/2014/main" id="{3E635589-3227-C03B-F855-00DAA5B78D42}"/>
            </a:ext>
          </a:extLst>
        </xdr:cNvPr>
        <xdr:cNvSpPr/>
      </xdr:nvSpPr>
      <xdr:spPr>
        <a:xfrm>
          <a:off x="20175582" y="5497830"/>
          <a:ext cx="10468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20682</xdr:colOff>
      <xdr:row>35</xdr:row>
      <xdr:rowOff>76200</xdr:rowOff>
    </xdr:from>
    <xdr:to>
      <xdr:col>45</xdr:col>
      <xdr:colOff>20682</xdr:colOff>
      <xdr:row>35</xdr:row>
      <xdr:rowOff>76200</xdr:rowOff>
    </xdr:to>
    <xdr:cxnSp macro="">
      <xdr:nvCxnSpPr>
        <xdr:cNvPr id="47137" name="직선 화살표 연결선 47136">
          <a:extLst>
            <a:ext uri="{FF2B5EF4-FFF2-40B4-BE49-F238E27FC236}">
              <a16:creationId xmlns:a16="http://schemas.microsoft.com/office/drawing/2014/main" id="{840F9433-64E4-8D26-B836-D9A522436687}"/>
            </a:ext>
          </a:extLst>
        </xdr:cNvPr>
        <xdr:cNvCxnSpPr/>
      </xdr:nvCxnSpPr>
      <xdr:spPr>
        <a:xfrm>
          <a:off x="20175582" y="555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20682</xdr:colOff>
      <xdr:row>34</xdr:row>
      <xdr:rowOff>19050</xdr:rowOff>
    </xdr:from>
    <xdr:to>
      <xdr:col>44</xdr:col>
      <xdr:colOff>125367</xdr:colOff>
      <xdr:row>34</xdr:row>
      <xdr:rowOff>133350</xdr:rowOff>
    </xdr:to>
    <xdr:sp macro="" textlink="">
      <xdr:nvSpPr>
        <xdr:cNvPr id="47138" name="31">
          <a:extLst>
            <a:ext uri="{FF2B5EF4-FFF2-40B4-BE49-F238E27FC236}">
              <a16:creationId xmlns:a16="http://schemas.microsoft.com/office/drawing/2014/main" id="{FDDE360D-AA22-5517-66D1-BC2646194B87}"/>
            </a:ext>
          </a:extLst>
        </xdr:cNvPr>
        <xdr:cNvSpPr/>
      </xdr:nvSpPr>
      <xdr:spPr>
        <a:xfrm>
          <a:off x="19306902" y="5345430"/>
          <a:ext cx="8285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20682</xdr:colOff>
      <xdr:row>34</xdr:row>
      <xdr:rowOff>76200</xdr:rowOff>
    </xdr:from>
    <xdr:to>
      <xdr:col>39</xdr:col>
      <xdr:colOff>20682</xdr:colOff>
      <xdr:row>34</xdr:row>
      <xdr:rowOff>76200</xdr:rowOff>
    </xdr:to>
    <xdr:cxnSp macro="">
      <xdr:nvCxnSpPr>
        <xdr:cNvPr id="47139" name="직선 화살표 연결선 47138">
          <a:extLst>
            <a:ext uri="{FF2B5EF4-FFF2-40B4-BE49-F238E27FC236}">
              <a16:creationId xmlns:a16="http://schemas.microsoft.com/office/drawing/2014/main" id="{5E4A1C86-35AD-C9E0-E2EC-DDF1FA6EFD86}"/>
            </a:ext>
          </a:extLst>
        </xdr:cNvPr>
        <xdr:cNvCxnSpPr/>
      </xdr:nvCxnSpPr>
      <xdr:spPr>
        <a:xfrm>
          <a:off x="19306902" y="540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20682</xdr:colOff>
      <xdr:row>33</xdr:row>
      <xdr:rowOff>19050</xdr:rowOff>
    </xdr:from>
    <xdr:to>
      <xdr:col>45</xdr:col>
      <xdr:colOff>125368</xdr:colOff>
      <xdr:row>33</xdr:row>
      <xdr:rowOff>133350</xdr:rowOff>
    </xdr:to>
    <xdr:sp macro="" textlink="">
      <xdr:nvSpPr>
        <xdr:cNvPr id="47140" name="30">
          <a:extLst>
            <a:ext uri="{FF2B5EF4-FFF2-40B4-BE49-F238E27FC236}">
              <a16:creationId xmlns:a16="http://schemas.microsoft.com/office/drawing/2014/main" id="{01EE439B-C6C5-8A91-10F8-B31C45D8EA05}"/>
            </a:ext>
          </a:extLst>
        </xdr:cNvPr>
        <xdr:cNvSpPr/>
      </xdr:nvSpPr>
      <xdr:spPr>
        <a:xfrm>
          <a:off x="19306902" y="5193030"/>
          <a:ext cx="9733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20682</xdr:colOff>
      <xdr:row>33</xdr:row>
      <xdr:rowOff>76200</xdr:rowOff>
    </xdr:from>
    <xdr:to>
      <xdr:col>39</xdr:col>
      <xdr:colOff>20682</xdr:colOff>
      <xdr:row>33</xdr:row>
      <xdr:rowOff>76200</xdr:rowOff>
    </xdr:to>
    <xdr:cxnSp macro="">
      <xdr:nvCxnSpPr>
        <xdr:cNvPr id="47141" name="직선 화살표 연결선 47140">
          <a:extLst>
            <a:ext uri="{FF2B5EF4-FFF2-40B4-BE49-F238E27FC236}">
              <a16:creationId xmlns:a16="http://schemas.microsoft.com/office/drawing/2014/main" id="{FF1395D2-1766-CECB-4E05-0400D0D3A848}"/>
            </a:ext>
          </a:extLst>
        </xdr:cNvPr>
        <xdr:cNvCxnSpPr/>
      </xdr:nvCxnSpPr>
      <xdr:spPr>
        <a:xfrm>
          <a:off x="19306902" y="525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20682</xdr:colOff>
      <xdr:row>32</xdr:row>
      <xdr:rowOff>19050</xdr:rowOff>
    </xdr:from>
    <xdr:to>
      <xdr:col>53</xdr:col>
      <xdr:colOff>63318</xdr:colOff>
      <xdr:row>32</xdr:row>
      <xdr:rowOff>133350</xdr:rowOff>
    </xdr:to>
    <xdr:sp macro="" textlink="">
      <xdr:nvSpPr>
        <xdr:cNvPr id="47142" name="29">
          <a:extLst>
            <a:ext uri="{FF2B5EF4-FFF2-40B4-BE49-F238E27FC236}">
              <a16:creationId xmlns:a16="http://schemas.microsoft.com/office/drawing/2014/main" id="{6B70DDA3-EBEE-1250-32E3-78655EAE2A25}"/>
            </a:ext>
          </a:extLst>
        </xdr:cNvPr>
        <xdr:cNvSpPr/>
      </xdr:nvSpPr>
      <xdr:spPr>
        <a:xfrm>
          <a:off x="19306902" y="5040630"/>
          <a:ext cx="20695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20682</xdr:colOff>
      <xdr:row>32</xdr:row>
      <xdr:rowOff>76200</xdr:rowOff>
    </xdr:from>
    <xdr:to>
      <xdr:col>39</xdr:col>
      <xdr:colOff>20682</xdr:colOff>
      <xdr:row>32</xdr:row>
      <xdr:rowOff>76200</xdr:rowOff>
    </xdr:to>
    <xdr:cxnSp macro="">
      <xdr:nvCxnSpPr>
        <xdr:cNvPr id="47143" name="직선 화살표 연결선 47142">
          <a:extLst>
            <a:ext uri="{FF2B5EF4-FFF2-40B4-BE49-F238E27FC236}">
              <a16:creationId xmlns:a16="http://schemas.microsoft.com/office/drawing/2014/main" id="{DA2D7F93-6801-DC58-0352-23DF6F4739DC}"/>
            </a:ext>
          </a:extLst>
        </xdr:cNvPr>
        <xdr:cNvCxnSpPr/>
      </xdr:nvCxnSpPr>
      <xdr:spPr>
        <a:xfrm>
          <a:off x="19306902" y="509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20682</xdr:colOff>
      <xdr:row>31</xdr:row>
      <xdr:rowOff>19050</xdr:rowOff>
    </xdr:from>
    <xdr:to>
      <xdr:col>39</xdr:col>
      <xdr:colOff>125367</xdr:colOff>
      <xdr:row>31</xdr:row>
      <xdr:rowOff>133350</xdr:rowOff>
    </xdr:to>
    <xdr:sp macro="" textlink="">
      <xdr:nvSpPr>
        <xdr:cNvPr id="47144" name="28">
          <a:extLst>
            <a:ext uri="{FF2B5EF4-FFF2-40B4-BE49-F238E27FC236}">
              <a16:creationId xmlns:a16="http://schemas.microsoft.com/office/drawing/2014/main" id="{D0E5ADD3-E932-70CC-31D0-4F6805A321AC}"/>
            </a:ext>
          </a:extLst>
        </xdr:cNvPr>
        <xdr:cNvSpPr/>
      </xdr:nvSpPr>
      <xdr:spPr>
        <a:xfrm>
          <a:off x="19306902" y="4888230"/>
          <a:ext cx="1046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20682</xdr:colOff>
      <xdr:row>31</xdr:row>
      <xdr:rowOff>76200</xdr:rowOff>
    </xdr:from>
    <xdr:to>
      <xdr:col>39</xdr:col>
      <xdr:colOff>20682</xdr:colOff>
      <xdr:row>31</xdr:row>
      <xdr:rowOff>76200</xdr:rowOff>
    </xdr:to>
    <xdr:cxnSp macro="">
      <xdr:nvCxnSpPr>
        <xdr:cNvPr id="47145" name="직선 화살표 연결선 47144">
          <a:extLst>
            <a:ext uri="{FF2B5EF4-FFF2-40B4-BE49-F238E27FC236}">
              <a16:creationId xmlns:a16="http://schemas.microsoft.com/office/drawing/2014/main" id="{7BEC2B69-B83B-F205-827F-B256A45EB167}"/>
            </a:ext>
          </a:extLst>
        </xdr:cNvPr>
        <xdr:cNvCxnSpPr/>
      </xdr:nvCxnSpPr>
      <xdr:spPr>
        <a:xfrm>
          <a:off x="19306902" y="494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30</xdr:row>
      <xdr:rowOff>19050</xdr:rowOff>
    </xdr:from>
    <xdr:to>
      <xdr:col>38</xdr:col>
      <xdr:colOff>125367</xdr:colOff>
      <xdr:row>30</xdr:row>
      <xdr:rowOff>133350</xdr:rowOff>
    </xdr:to>
    <xdr:sp macro="" textlink="">
      <xdr:nvSpPr>
        <xdr:cNvPr id="47146" name="27">
          <a:extLst>
            <a:ext uri="{FF2B5EF4-FFF2-40B4-BE49-F238E27FC236}">
              <a16:creationId xmlns:a16="http://schemas.microsoft.com/office/drawing/2014/main" id="{9FEBEE66-9B3D-2D7F-3A8B-AAEBA9A606B9}"/>
            </a:ext>
          </a:extLst>
        </xdr:cNvPr>
        <xdr:cNvSpPr/>
      </xdr:nvSpPr>
      <xdr:spPr>
        <a:xfrm>
          <a:off x="19017343" y="47358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30</xdr:row>
      <xdr:rowOff>76200</xdr:rowOff>
    </xdr:from>
    <xdr:to>
      <xdr:col>37</xdr:col>
      <xdr:colOff>20683</xdr:colOff>
      <xdr:row>30</xdr:row>
      <xdr:rowOff>76200</xdr:rowOff>
    </xdr:to>
    <xdr:cxnSp macro="">
      <xdr:nvCxnSpPr>
        <xdr:cNvPr id="47147" name="직선 화살표 연결선 47146">
          <a:extLst>
            <a:ext uri="{FF2B5EF4-FFF2-40B4-BE49-F238E27FC236}">
              <a16:creationId xmlns:a16="http://schemas.microsoft.com/office/drawing/2014/main" id="{EA8866C1-0CCB-9EA9-B15E-A41EA8D7A1C1}"/>
            </a:ext>
          </a:extLst>
        </xdr:cNvPr>
        <xdr:cNvCxnSpPr/>
      </xdr:nvCxnSpPr>
      <xdr:spPr>
        <a:xfrm>
          <a:off x="19017343" y="479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20682</xdr:colOff>
      <xdr:row>29</xdr:row>
      <xdr:rowOff>19050</xdr:rowOff>
    </xdr:from>
    <xdr:to>
      <xdr:col>36</xdr:col>
      <xdr:colOff>125366</xdr:colOff>
      <xdr:row>29</xdr:row>
      <xdr:rowOff>133350</xdr:rowOff>
    </xdr:to>
    <xdr:sp macro="" textlink="">
      <xdr:nvSpPr>
        <xdr:cNvPr id="47148" name="26">
          <a:extLst>
            <a:ext uri="{FF2B5EF4-FFF2-40B4-BE49-F238E27FC236}">
              <a16:creationId xmlns:a16="http://schemas.microsoft.com/office/drawing/2014/main" id="{8673E395-3AFC-15F9-E05A-D324EA4CDB51}"/>
            </a:ext>
          </a:extLst>
        </xdr:cNvPr>
        <xdr:cNvSpPr/>
      </xdr:nvSpPr>
      <xdr:spPr>
        <a:xfrm>
          <a:off x="18727782" y="45834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20682</xdr:colOff>
      <xdr:row>29</xdr:row>
      <xdr:rowOff>76200</xdr:rowOff>
    </xdr:from>
    <xdr:to>
      <xdr:col>35</xdr:col>
      <xdr:colOff>20682</xdr:colOff>
      <xdr:row>29</xdr:row>
      <xdr:rowOff>76200</xdr:rowOff>
    </xdr:to>
    <xdr:cxnSp macro="">
      <xdr:nvCxnSpPr>
        <xdr:cNvPr id="47149" name="직선 화살표 연결선 47148">
          <a:extLst>
            <a:ext uri="{FF2B5EF4-FFF2-40B4-BE49-F238E27FC236}">
              <a16:creationId xmlns:a16="http://schemas.microsoft.com/office/drawing/2014/main" id="{49701621-9AD2-335C-D14E-B1A83383C06B}"/>
            </a:ext>
          </a:extLst>
        </xdr:cNvPr>
        <xdr:cNvCxnSpPr/>
      </xdr:nvCxnSpPr>
      <xdr:spPr>
        <a:xfrm>
          <a:off x="18727782" y="464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20682</xdr:colOff>
      <xdr:row>28</xdr:row>
      <xdr:rowOff>19050</xdr:rowOff>
    </xdr:from>
    <xdr:to>
      <xdr:col>35</xdr:col>
      <xdr:colOff>42636</xdr:colOff>
      <xdr:row>28</xdr:row>
      <xdr:rowOff>133350</xdr:rowOff>
    </xdr:to>
    <xdr:sp macro="" textlink="">
      <xdr:nvSpPr>
        <xdr:cNvPr id="47150" name="25">
          <a:extLst>
            <a:ext uri="{FF2B5EF4-FFF2-40B4-BE49-F238E27FC236}">
              <a16:creationId xmlns:a16="http://schemas.microsoft.com/office/drawing/2014/main" id="{6A3C1D87-99CB-B351-C850-97F2E73C0429}"/>
            </a:ext>
          </a:extLst>
        </xdr:cNvPr>
        <xdr:cNvSpPr/>
      </xdr:nvSpPr>
      <xdr:spPr>
        <a:xfrm>
          <a:off x="18727782" y="4431030"/>
          <a:ext cx="219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20682</xdr:colOff>
      <xdr:row>28</xdr:row>
      <xdr:rowOff>76200</xdr:rowOff>
    </xdr:from>
    <xdr:to>
      <xdr:col>35</xdr:col>
      <xdr:colOff>20682</xdr:colOff>
      <xdr:row>28</xdr:row>
      <xdr:rowOff>76200</xdr:rowOff>
    </xdr:to>
    <xdr:cxnSp macro="">
      <xdr:nvCxnSpPr>
        <xdr:cNvPr id="47151" name="직선 화살표 연결선 47150">
          <a:extLst>
            <a:ext uri="{FF2B5EF4-FFF2-40B4-BE49-F238E27FC236}">
              <a16:creationId xmlns:a16="http://schemas.microsoft.com/office/drawing/2014/main" id="{2571BE71-25EC-36A9-7071-8BEAD56F0749}"/>
            </a:ext>
          </a:extLst>
        </xdr:cNvPr>
        <xdr:cNvCxnSpPr/>
      </xdr:nvCxnSpPr>
      <xdr:spPr>
        <a:xfrm>
          <a:off x="18727782" y="448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20682</xdr:colOff>
      <xdr:row>27</xdr:row>
      <xdr:rowOff>19050</xdr:rowOff>
    </xdr:from>
    <xdr:to>
      <xdr:col>39</xdr:col>
      <xdr:colOff>125367</xdr:colOff>
      <xdr:row>27</xdr:row>
      <xdr:rowOff>133350</xdr:rowOff>
    </xdr:to>
    <xdr:sp macro="" textlink="">
      <xdr:nvSpPr>
        <xdr:cNvPr id="47152" name="24">
          <a:extLst>
            <a:ext uri="{FF2B5EF4-FFF2-40B4-BE49-F238E27FC236}">
              <a16:creationId xmlns:a16="http://schemas.microsoft.com/office/drawing/2014/main" id="{1BC93D5B-0C17-4042-9F9F-5D303D2AB065}"/>
            </a:ext>
          </a:extLst>
        </xdr:cNvPr>
        <xdr:cNvSpPr/>
      </xdr:nvSpPr>
      <xdr:spPr>
        <a:xfrm>
          <a:off x="18727782" y="4278630"/>
          <a:ext cx="6838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20682</xdr:colOff>
      <xdr:row>27</xdr:row>
      <xdr:rowOff>76200</xdr:rowOff>
    </xdr:from>
    <xdr:to>
      <xdr:col>35</xdr:col>
      <xdr:colOff>20682</xdr:colOff>
      <xdr:row>27</xdr:row>
      <xdr:rowOff>76200</xdr:rowOff>
    </xdr:to>
    <xdr:cxnSp macro="">
      <xdr:nvCxnSpPr>
        <xdr:cNvPr id="47153" name="직선 화살표 연결선 47152">
          <a:extLst>
            <a:ext uri="{FF2B5EF4-FFF2-40B4-BE49-F238E27FC236}">
              <a16:creationId xmlns:a16="http://schemas.microsoft.com/office/drawing/2014/main" id="{91FCB5DA-0EEB-292F-7FB0-F983D9803DF9}"/>
            </a:ext>
          </a:extLst>
        </xdr:cNvPr>
        <xdr:cNvCxnSpPr/>
      </xdr:nvCxnSpPr>
      <xdr:spPr>
        <a:xfrm>
          <a:off x="18727782" y="433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20682</xdr:colOff>
      <xdr:row>26</xdr:row>
      <xdr:rowOff>19050</xdr:rowOff>
    </xdr:from>
    <xdr:to>
      <xdr:col>53</xdr:col>
      <xdr:colOff>125367</xdr:colOff>
      <xdr:row>26</xdr:row>
      <xdr:rowOff>133350</xdr:rowOff>
    </xdr:to>
    <xdr:sp macro="" textlink="">
      <xdr:nvSpPr>
        <xdr:cNvPr id="47154" name="23">
          <a:extLst>
            <a:ext uri="{FF2B5EF4-FFF2-40B4-BE49-F238E27FC236}">
              <a16:creationId xmlns:a16="http://schemas.microsoft.com/office/drawing/2014/main" id="{DC280934-3DD4-4D1B-3A82-5CF5B54D7F1A}"/>
            </a:ext>
          </a:extLst>
        </xdr:cNvPr>
        <xdr:cNvSpPr/>
      </xdr:nvSpPr>
      <xdr:spPr>
        <a:xfrm>
          <a:off x="18727782" y="4126230"/>
          <a:ext cx="27107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20682</xdr:colOff>
      <xdr:row>26</xdr:row>
      <xdr:rowOff>76200</xdr:rowOff>
    </xdr:from>
    <xdr:to>
      <xdr:col>35</xdr:col>
      <xdr:colOff>20682</xdr:colOff>
      <xdr:row>26</xdr:row>
      <xdr:rowOff>76200</xdr:rowOff>
    </xdr:to>
    <xdr:cxnSp macro="">
      <xdr:nvCxnSpPr>
        <xdr:cNvPr id="47155" name="직선 화살표 연결선 47154">
          <a:extLst>
            <a:ext uri="{FF2B5EF4-FFF2-40B4-BE49-F238E27FC236}">
              <a16:creationId xmlns:a16="http://schemas.microsoft.com/office/drawing/2014/main" id="{08012049-6D1D-D06E-AE0B-704258207FC3}"/>
            </a:ext>
          </a:extLst>
        </xdr:cNvPr>
        <xdr:cNvCxnSpPr/>
      </xdr:nvCxnSpPr>
      <xdr:spPr>
        <a:xfrm>
          <a:off x="18727782" y="418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20683</xdr:colOff>
      <xdr:row>25</xdr:row>
      <xdr:rowOff>19050</xdr:rowOff>
    </xdr:from>
    <xdr:to>
      <xdr:col>38</xdr:col>
      <xdr:colOff>125367</xdr:colOff>
      <xdr:row>25</xdr:row>
      <xdr:rowOff>133350</xdr:rowOff>
    </xdr:to>
    <xdr:sp macro="" textlink="">
      <xdr:nvSpPr>
        <xdr:cNvPr id="47156" name="22">
          <a:extLst>
            <a:ext uri="{FF2B5EF4-FFF2-40B4-BE49-F238E27FC236}">
              <a16:creationId xmlns:a16="http://schemas.microsoft.com/office/drawing/2014/main" id="{5C94439A-90A5-A9EE-FFB7-90849CA2CD79}"/>
            </a:ext>
          </a:extLst>
        </xdr:cNvPr>
        <xdr:cNvSpPr/>
      </xdr:nvSpPr>
      <xdr:spPr>
        <a:xfrm>
          <a:off x="19162123" y="39738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20683</xdr:colOff>
      <xdr:row>25</xdr:row>
      <xdr:rowOff>76200</xdr:rowOff>
    </xdr:from>
    <xdr:to>
      <xdr:col>38</xdr:col>
      <xdr:colOff>20683</xdr:colOff>
      <xdr:row>25</xdr:row>
      <xdr:rowOff>76200</xdr:rowOff>
    </xdr:to>
    <xdr:cxnSp macro="">
      <xdr:nvCxnSpPr>
        <xdr:cNvPr id="47157" name="직선 화살표 연결선 47156">
          <a:extLst>
            <a:ext uri="{FF2B5EF4-FFF2-40B4-BE49-F238E27FC236}">
              <a16:creationId xmlns:a16="http://schemas.microsoft.com/office/drawing/2014/main" id="{831026CD-E1F7-6E4C-8DD0-85A5EAC4C794}"/>
            </a:ext>
          </a:extLst>
        </xdr:cNvPr>
        <xdr:cNvCxnSpPr/>
      </xdr:nvCxnSpPr>
      <xdr:spPr>
        <a:xfrm>
          <a:off x="19162123" y="403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24</xdr:row>
      <xdr:rowOff>19050</xdr:rowOff>
    </xdr:from>
    <xdr:to>
      <xdr:col>37</xdr:col>
      <xdr:colOff>125367</xdr:colOff>
      <xdr:row>24</xdr:row>
      <xdr:rowOff>133350</xdr:rowOff>
    </xdr:to>
    <xdr:sp macro="" textlink="">
      <xdr:nvSpPr>
        <xdr:cNvPr id="47158" name="21">
          <a:extLst>
            <a:ext uri="{FF2B5EF4-FFF2-40B4-BE49-F238E27FC236}">
              <a16:creationId xmlns:a16="http://schemas.microsoft.com/office/drawing/2014/main" id="{1B3F8076-A836-16BE-529B-F7D9805C6CE7}"/>
            </a:ext>
          </a:extLst>
        </xdr:cNvPr>
        <xdr:cNvSpPr/>
      </xdr:nvSpPr>
      <xdr:spPr>
        <a:xfrm>
          <a:off x="18872563" y="38214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24</xdr:row>
      <xdr:rowOff>76200</xdr:rowOff>
    </xdr:from>
    <xdr:to>
      <xdr:col>36</xdr:col>
      <xdr:colOff>20683</xdr:colOff>
      <xdr:row>24</xdr:row>
      <xdr:rowOff>76200</xdr:rowOff>
    </xdr:to>
    <xdr:cxnSp macro="">
      <xdr:nvCxnSpPr>
        <xdr:cNvPr id="47165" name="직선 화살표 연결선 47164">
          <a:extLst>
            <a:ext uri="{FF2B5EF4-FFF2-40B4-BE49-F238E27FC236}">
              <a16:creationId xmlns:a16="http://schemas.microsoft.com/office/drawing/2014/main" id="{9A16A6F2-82F4-1DF9-8D65-F674A0AF4182}"/>
            </a:ext>
          </a:extLst>
        </xdr:cNvPr>
        <xdr:cNvCxnSpPr/>
      </xdr:nvCxnSpPr>
      <xdr:spPr>
        <a:xfrm>
          <a:off x="18872563" y="387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23</xdr:row>
      <xdr:rowOff>19050</xdr:rowOff>
    </xdr:from>
    <xdr:to>
      <xdr:col>38</xdr:col>
      <xdr:colOff>125367</xdr:colOff>
      <xdr:row>23</xdr:row>
      <xdr:rowOff>133350</xdr:rowOff>
    </xdr:to>
    <xdr:sp macro="" textlink="">
      <xdr:nvSpPr>
        <xdr:cNvPr id="47166" name="20">
          <a:extLst>
            <a:ext uri="{FF2B5EF4-FFF2-40B4-BE49-F238E27FC236}">
              <a16:creationId xmlns:a16="http://schemas.microsoft.com/office/drawing/2014/main" id="{81C11085-7AA6-E479-AC17-D62BF664E348}"/>
            </a:ext>
          </a:extLst>
        </xdr:cNvPr>
        <xdr:cNvSpPr/>
      </xdr:nvSpPr>
      <xdr:spPr>
        <a:xfrm>
          <a:off x="18872563" y="36690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23</xdr:row>
      <xdr:rowOff>76200</xdr:rowOff>
    </xdr:from>
    <xdr:to>
      <xdr:col>36</xdr:col>
      <xdr:colOff>20683</xdr:colOff>
      <xdr:row>23</xdr:row>
      <xdr:rowOff>76200</xdr:rowOff>
    </xdr:to>
    <xdr:cxnSp macro="">
      <xdr:nvCxnSpPr>
        <xdr:cNvPr id="47167" name="직선 화살표 연결선 47166">
          <a:extLst>
            <a:ext uri="{FF2B5EF4-FFF2-40B4-BE49-F238E27FC236}">
              <a16:creationId xmlns:a16="http://schemas.microsoft.com/office/drawing/2014/main" id="{39BCDF70-2A88-CE9E-C424-13D6A344EA21}"/>
            </a:ext>
          </a:extLst>
        </xdr:cNvPr>
        <xdr:cNvCxnSpPr/>
      </xdr:nvCxnSpPr>
      <xdr:spPr>
        <a:xfrm>
          <a:off x="18872563" y="372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20682</xdr:colOff>
      <xdr:row>22</xdr:row>
      <xdr:rowOff>19050</xdr:rowOff>
    </xdr:from>
    <xdr:to>
      <xdr:col>37</xdr:col>
      <xdr:colOff>125367</xdr:colOff>
      <xdr:row>22</xdr:row>
      <xdr:rowOff>133350</xdr:rowOff>
    </xdr:to>
    <xdr:sp macro="" textlink="">
      <xdr:nvSpPr>
        <xdr:cNvPr id="47168" name="19">
          <a:extLst>
            <a:ext uri="{FF2B5EF4-FFF2-40B4-BE49-F238E27FC236}">
              <a16:creationId xmlns:a16="http://schemas.microsoft.com/office/drawing/2014/main" id="{8741CC21-DD52-013A-27D5-666B45E24867}"/>
            </a:ext>
          </a:extLst>
        </xdr:cNvPr>
        <xdr:cNvSpPr/>
      </xdr:nvSpPr>
      <xdr:spPr>
        <a:xfrm>
          <a:off x="18727782" y="3516630"/>
          <a:ext cx="3942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20682</xdr:colOff>
      <xdr:row>22</xdr:row>
      <xdr:rowOff>76200</xdr:rowOff>
    </xdr:from>
    <xdr:to>
      <xdr:col>35</xdr:col>
      <xdr:colOff>20682</xdr:colOff>
      <xdr:row>22</xdr:row>
      <xdr:rowOff>76200</xdr:rowOff>
    </xdr:to>
    <xdr:cxnSp macro="">
      <xdr:nvCxnSpPr>
        <xdr:cNvPr id="47169" name="직선 화살표 연결선 47168">
          <a:extLst>
            <a:ext uri="{FF2B5EF4-FFF2-40B4-BE49-F238E27FC236}">
              <a16:creationId xmlns:a16="http://schemas.microsoft.com/office/drawing/2014/main" id="{2F144D1D-5AA9-27A4-2787-6910BDB743A6}"/>
            </a:ext>
          </a:extLst>
        </xdr:cNvPr>
        <xdr:cNvCxnSpPr/>
      </xdr:nvCxnSpPr>
      <xdr:spPr>
        <a:xfrm>
          <a:off x="18727782" y="357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82731</xdr:colOff>
      <xdr:row>21</xdr:row>
      <xdr:rowOff>19050</xdr:rowOff>
    </xdr:from>
    <xdr:to>
      <xdr:col>34</xdr:col>
      <xdr:colOff>125367</xdr:colOff>
      <xdr:row>21</xdr:row>
      <xdr:rowOff>133350</xdr:rowOff>
    </xdr:to>
    <xdr:sp macro="" textlink="">
      <xdr:nvSpPr>
        <xdr:cNvPr id="47170" name="18">
          <a:extLst>
            <a:ext uri="{FF2B5EF4-FFF2-40B4-BE49-F238E27FC236}">
              <a16:creationId xmlns:a16="http://schemas.microsoft.com/office/drawing/2014/main" id="{0329C753-D3B1-C8FF-FEFE-BCC22A1E0C3E}"/>
            </a:ext>
          </a:extLst>
        </xdr:cNvPr>
        <xdr:cNvSpPr/>
      </xdr:nvSpPr>
      <xdr:spPr>
        <a:xfrm>
          <a:off x="18500271" y="3364230"/>
          <a:ext cx="18741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82731</xdr:colOff>
      <xdr:row>21</xdr:row>
      <xdr:rowOff>76200</xdr:rowOff>
    </xdr:from>
    <xdr:to>
      <xdr:col>33</xdr:col>
      <xdr:colOff>82731</xdr:colOff>
      <xdr:row>21</xdr:row>
      <xdr:rowOff>76200</xdr:rowOff>
    </xdr:to>
    <xdr:cxnSp macro="">
      <xdr:nvCxnSpPr>
        <xdr:cNvPr id="47177" name="직선 화살표 연결선 47176">
          <a:extLst>
            <a:ext uri="{FF2B5EF4-FFF2-40B4-BE49-F238E27FC236}">
              <a16:creationId xmlns:a16="http://schemas.microsoft.com/office/drawing/2014/main" id="{81B1B316-502A-8143-9F5A-5F6003E0DCA9}"/>
            </a:ext>
          </a:extLst>
        </xdr:cNvPr>
        <xdr:cNvCxnSpPr/>
      </xdr:nvCxnSpPr>
      <xdr:spPr>
        <a:xfrm>
          <a:off x="18500271" y="342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62048</xdr:colOff>
      <xdr:row>20</xdr:row>
      <xdr:rowOff>19050</xdr:rowOff>
    </xdr:from>
    <xdr:to>
      <xdr:col>33</xdr:col>
      <xdr:colOff>84000</xdr:colOff>
      <xdr:row>20</xdr:row>
      <xdr:rowOff>133350</xdr:rowOff>
    </xdr:to>
    <xdr:sp macro="" textlink="">
      <xdr:nvSpPr>
        <xdr:cNvPr id="47178" name="17">
          <a:extLst>
            <a:ext uri="{FF2B5EF4-FFF2-40B4-BE49-F238E27FC236}">
              <a16:creationId xmlns:a16="http://schemas.microsoft.com/office/drawing/2014/main" id="{0863A7EC-AACA-7E3C-13F1-03FCC8F4BC48}"/>
            </a:ext>
          </a:extLst>
        </xdr:cNvPr>
        <xdr:cNvSpPr/>
      </xdr:nvSpPr>
      <xdr:spPr>
        <a:xfrm>
          <a:off x="18334808" y="3211830"/>
          <a:ext cx="166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62048</xdr:colOff>
      <xdr:row>20</xdr:row>
      <xdr:rowOff>76200</xdr:rowOff>
    </xdr:from>
    <xdr:to>
      <xdr:col>32</xdr:col>
      <xdr:colOff>62048</xdr:colOff>
      <xdr:row>20</xdr:row>
      <xdr:rowOff>76200</xdr:rowOff>
    </xdr:to>
    <xdr:cxnSp macro="">
      <xdr:nvCxnSpPr>
        <xdr:cNvPr id="47185" name="직선 화살표 연결선 47184">
          <a:extLst>
            <a:ext uri="{FF2B5EF4-FFF2-40B4-BE49-F238E27FC236}">
              <a16:creationId xmlns:a16="http://schemas.microsoft.com/office/drawing/2014/main" id="{8DC57BA7-4D7B-D376-5E3A-FECA410F8DD2}"/>
            </a:ext>
          </a:extLst>
        </xdr:cNvPr>
        <xdr:cNvCxnSpPr/>
      </xdr:nvCxnSpPr>
      <xdr:spPr>
        <a:xfrm>
          <a:off x="18334808" y="326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62048</xdr:colOff>
      <xdr:row>19</xdr:row>
      <xdr:rowOff>19050</xdr:rowOff>
    </xdr:from>
    <xdr:to>
      <xdr:col>37</xdr:col>
      <xdr:colOff>125367</xdr:colOff>
      <xdr:row>19</xdr:row>
      <xdr:rowOff>133350</xdr:rowOff>
    </xdr:to>
    <xdr:sp macro="" textlink="">
      <xdr:nvSpPr>
        <xdr:cNvPr id="47186" name="16">
          <a:extLst>
            <a:ext uri="{FF2B5EF4-FFF2-40B4-BE49-F238E27FC236}">
              <a16:creationId xmlns:a16="http://schemas.microsoft.com/office/drawing/2014/main" id="{A550A464-802E-48AC-860A-CDB78F12D1C2}"/>
            </a:ext>
          </a:extLst>
        </xdr:cNvPr>
        <xdr:cNvSpPr/>
      </xdr:nvSpPr>
      <xdr:spPr>
        <a:xfrm>
          <a:off x="18334808" y="3059430"/>
          <a:ext cx="78721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62048</xdr:colOff>
      <xdr:row>19</xdr:row>
      <xdr:rowOff>76200</xdr:rowOff>
    </xdr:from>
    <xdr:to>
      <xdr:col>32</xdr:col>
      <xdr:colOff>62048</xdr:colOff>
      <xdr:row>19</xdr:row>
      <xdr:rowOff>76200</xdr:rowOff>
    </xdr:to>
    <xdr:cxnSp macro="">
      <xdr:nvCxnSpPr>
        <xdr:cNvPr id="47187" name="직선 화살표 연결선 47186">
          <a:extLst>
            <a:ext uri="{FF2B5EF4-FFF2-40B4-BE49-F238E27FC236}">
              <a16:creationId xmlns:a16="http://schemas.microsoft.com/office/drawing/2014/main" id="{78A70550-E9AB-8076-3084-753366907927}"/>
            </a:ext>
          </a:extLst>
        </xdr:cNvPr>
        <xdr:cNvCxnSpPr/>
      </xdr:nvCxnSpPr>
      <xdr:spPr>
        <a:xfrm>
          <a:off x="18334808" y="311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18</xdr:row>
      <xdr:rowOff>19050</xdr:rowOff>
    </xdr:from>
    <xdr:to>
      <xdr:col>34</xdr:col>
      <xdr:colOff>125367</xdr:colOff>
      <xdr:row>18</xdr:row>
      <xdr:rowOff>133350</xdr:rowOff>
    </xdr:to>
    <xdr:sp macro="" textlink="">
      <xdr:nvSpPr>
        <xdr:cNvPr id="47188" name="15">
          <a:extLst>
            <a:ext uri="{FF2B5EF4-FFF2-40B4-BE49-F238E27FC236}">
              <a16:creationId xmlns:a16="http://schemas.microsoft.com/office/drawing/2014/main" id="{D074AED9-FADA-A78D-FFC2-1B9CA6CB59A4}"/>
            </a:ext>
          </a:extLst>
        </xdr:cNvPr>
        <xdr:cNvSpPr/>
      </xdr:nvSpPr>
      <xdr:spPr>
        <a:xfrm>
          <a:off x="18458906" y="2907030"/>
          <a:ext cx="2287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18</xdr:row>
      <xdr:rowOff>76200</xdr:rowOff>
    </xdr:from>
    <xdr:to>
      <xdr:col>33</xdr:col>
      <xdr:colOff>41366</xdr:colOff>
      <xdr:row>18</xdr:row>
      <xdr:rowOff>76200</xdr:rowOff>
    </xdr:to>
    <xdr:cxnSp macro="">
      <xdr:nvCxnSpPr>
        <xdr:cNvPr id="47189" name="직선 화살표 연결선 47188">
          <a:extLst>
            <a:ext uri="{FF2B5EF4-FFF2-40B4-BE49-F238E27FC236}">
              <a16:creationId xmlns:a16="http://schemas.microsoft.com/office/drawing/2014/main" id="{AAD7E39B-092C-3D27-400E-BECF96DC54CA}"/>
            </a:ext>
          </a:extLst>
        </xdr:cNvPr>
        <xdr:cNvCxnSpPr/>
      </xdr:nvCxnSpPr>
      <xdr:spPr>
        <a:xfrm>
          <a:off x="18458906" y="296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62048</xdr:colOff>
      <xdr:row>17</xdr:row>
      <xdr:rowOff>19050</xdr:rowOff>
    </xdr:from>
    <xdr:to>
      <xdr:col>34</xdr:col>
      <xdr:colOff>84001</xdr:colOff>
      <xdr:row>17</xdr:row>
      <xdr:rowOff>133350</xdr:rowOff>
    </xdr:to>
    <xdr:sp macro="" textlink="">
      <xdr:nvSpPr>
        <xdr:cNvPr id="47190" name="14">
          <a:extLst>
            <a:ext uri="{FF2B5EF4-FFF2-40B4-BE49-F238E27FC236}">
              <a16:creationId xmlns:a16="http://schemas.microsoft.com/office/drawing/2014/main" id="{1A9E7C9B-67CA-8460-2735-44C689D7F8EB}"/>
            </a:ext>
          </a:extLst>
        </xdr:cNvPr>
        <xdr:cNvSpPr/>
      </xdr:nvSpPr>
      <xdr:spPr>
        <a:xfrm>
          <a:off x="18334808" y="2754630"/>
          <a:ext cx="3115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62048</xdr:colOff>
      <xdr:row>17</xdr:row>
      <xdr:rowOff>76200</xdr:rowOff>
    </xdr:from>
    <xdr:to>
      <xdr:col>32</xdr:col>
      <xdr:colOff>62048</xdr:colOff>
      <xdr:row>17</xdr:row>
      <xdr:rowOff>76200</xdr:rowOff>
    </xdr:to>
    <xdr:cxnSp macro="">
      <xdr:nvCxnSpPr>
        <xdr:cNvPr id="47191" name="직선 화살표 연결선 47190">
          <a:extLst>
            <a:ext uri="{FF2B5EF4-FFF2-40B4-BE49-F238E27FC236}">
              <a16:creationId xmlns:a16="http://schemas.microsoft.com/office/drawing/2014/main" id="{0427619C-390A-081A-2F7E-51EE07A72A5B}"/>
            </a:ext>
          </a:extLst>
        </xdr:cNvPr>
        <xdr:cNvCxnSpPr/>
      </xdr:nvCxnSpPr>
      <xdr:spPr>
        <a:xfrm>
          <a:off x="18334808" y="281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16</xdr:row>
      <xdr:rowOff>19050</xdr:rowOff>
    </xdr:from>
    <xdr:to>
      <xdr:col>32</xdr:col>
      <xdr:colOff>125367</xdr:colOff>
      <xdr:row>16</xdr:row>
      <xdr:rowOff>133350</xdr:rowOff>
    </xdr:to>
    <xdr:sp macro="" textlink="">
      <xdr:nvSpPr>
        <xdr:cNvPr id="47192" name="13">
          <a:extLst>
            <a:ext uri="{FF2B5EF4-FFF2-40B4-BE49-F238E27FC236}">
              <a16:creationId xmlns:a16="http://schemas.microsoft.com/office/drawing/2014/main" id="{6C822810-0065-2868-E365-E02BCB7C4000}"/>
            </a:ext>
          </a:extLst>
        </xdr:cNvPr>
        <xdr:cNvSpPr/>
      </xdr:nvSpPr>
      <xdr:spPr>
        <a:xfrm>
          <a:off x="18293443" y="26022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16</xdr:row>
      <xdr:rowOff>76200</xdr:rowOff>
    </xdr:from>
    <xdr:to>
      <xdr:col>32</xdr:col>
      <xdr:colOff>20683</xdr:colOff>
      <xdr:row>16</xdr:row>
      <xdr:rowOff>76200</xdr:rowOff>
    </xdr:to>
    <xdr:cxnSp macro="">
      <xdr:nvCxnSpPr>
        <xdr:cNvPr id="47193" name="직선 화살표 연결선 47192">
          <a:extLst>
            <a:ext uri="{FF2B5EF4-FFF2-40B4-BE49-F238E27FC236}">
              <a16:creationId xmlns:a16="http://schemas.microsoft.com/office/drawing/2014/main" id="{89BAB683-9494-0F44-2CFA-5AEB2316091F}"/>
            </a:ext>
          </a:extLst>
        </xdr:cNvPr>
        <xdr:cNvCxnSpPr/>
      </xdr:nvCxnSpPr>
      <xdr:spPr>
        <a:xfrm>
          <a:off x="18293443" y="265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15</xdr:row>
      <xdr:rowOff>19050</xdr:rowOff>
    </xdr:from>
    <xdr:to>
      <xdr:col>34</xdr:col>
      <xdr:colOff>125367</xdr:colOff>
      <xdr:row>15</xdr:row>
      <xdr:rowOff>133350</xdr:rowOff>
    </xdr:to>
    <xdr:sp macro="" textlink="">
      <xdr:nvSpPr>
        <xdr:cNvPr id="47194" name="12">
          <a:extLst>
            <a:ext uri="{FF2B5EF4-FFF2-40B4-BE49-F238E27FC236}">
              <a16:creationId xmlns:a16="http://schemas.microsoft.com/office/drawing/2014/main" id="{F6681FE1-13AB-95E2-0180-C489AAF5E1ED}"/>
            </a:ext>
          </a:extLst>
        </xdr:cNvPr>
        <xdr:cNvSpPr/>
      </xdr:nvSpPr>
      <xdr:spPr>
        <a:xfrm>
          <a:off x="18293443" y="24498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15</xdr:row>
      <xdr:rowOff>76200</xdr:rowOff>
    </xdr:from>
    <xdr:to>
      <xdr:col>32</xdr:col>
      <xdr:colOff>20683</xdr:colOff>
      <xdr:row>15</xdr:row>
      <xdr:rowOff>76200</xdr:rowOff>
    </xdr:to>
    <xdr:cxnSp macro="">
      <xdr:nvCxnSpPr>
        <xdr:cNvPr id="47199" name="직선 화살표 연결선 47198">
          <a:extLst>
            <a:ext uri="{FF2B5EF4-FFF2-40B4-BE49-F238E27FC236}">
              <a16:creationId xmlns:a16="http://schemas.microsoft.com/office/drawing/2014/main" id="{407EB024-022E-0480-1957-EFC24B3FA29F}"/>
            </a:ext>
          </a:extLst>
        </xdr:cNvPr>
        <xdr:cNvCxnSpPr/>
      </xdr:nvCxnSpPr>
      <xdr:spPr>
        <a:xfrm>
          <a:off x="18293443" y="250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14</xdr:row>
      <xdr:rowOff>19050</xdr:rowOff>
    </xdr:from>
    <xdr:to>
      <xdr:col>38</xdr:col>
      <xdr:colOff>125367</xdr:colOff>
      <xdr:row>14</xdr:row>
      <xdr:rowOff>133350</xdr:rowOff>
    </xdr:to>
    <xdr:sp macro="" textlink="">
      <xdr:nvSpPr>
        <xdr:cNvPr id="47200" name="11">
          <a:extLst>
            <a:ext uri="{FF2B5EF4-FFF2-40B4-BE49-F238E27FC236}">
              <a16:creationId xmlns:a16="http://schemas.microsoft.com/office/drawing/2014/main" id="{784426BC-EFA1-499D-9757-3F81F0F6E5E4}"/>
            </a:ext>
          </a:extLst>
        </xdr:cNvPr>
        <xdr:cNvSpPr/>
      </xdr:nvSpPr>
      <xdr:spPr>
        <a:xfrm>
          <a:off x="18293443" y="2297430"/>
          <a:ext cx="9733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14</xdr:row>
      <xdr:rowOff>76200</xdr:rowOff>
    </xdr:from>
    <xdr:to>
      <xdr:col>32</xdr:col>
      <xdr:colOff>20683</xdr:colOff>
      <xdr:row>14</xdr:row>
      <xdr:rowOff>76200</xdr:rowOff>
    </xdr:to>
    <xdr:cxnSp macro="">
      <xdr:nvCxnSpPr>
        <xdr:cNvPr id="47201" name="직선 화살표 연결선 47200">
          <a:extLst>
            <a:ext uri="{FF2B5EF4-FFF2-40B4-BE49-F238E27FC236}">
              <a16:creationId xmlns:a16="http://schemas.microsoft.com/office/drawing/2014/main" id="{53C0C341-9F73-2C43-D94D-C4C6D18BF136}"/>
            </a:ext>
          </a:extLst>
        </xdr:cNvPr>
        <xdr:cNvCxnSpPr/>
      </xdr:nvCxnSpPr>
      <xdr:spPr>
        <a:xfrm>
          <a:off x="18293443" y="235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20683</xdr:colOff>
      <xdr:row>13</xdr:row>
      <xdr:rowOff>19050</xdr:rowOff>
    </xdr:from>
    <xdr:to>
      <xdr:col>53</xdr:col>
      <xdr:colOff>125367</xdr:colOff>
      <xdr:row>13</xdr:row>
      <xdr:rowOff>133350</xdr:rowOff>
    </xdr:to>
    <xdr:sp macro="" textlink="">
      <xdr:nvSpPr>
        <xdr:cNvPr id="47202" name="10">
          <a:extLst>
            <a:ext uri="{FF2B5EF4-FFF2-40B4-BE49-F238E27FC236}">
              <a16:creationId xmlns:a16="http://schemas.microsoft.com/office/drawing/2014/main" id="{C1412C7F-384B-4C60-23AB-1874ED125A1D}"/>
            </a:ext>
          </a:extLst>
        </xdr:cNvPr>
        <xdr:cNvSpPr/>
      </xdr:nvSpPr>
      <xdr:spPr>
        <a:xfrm>
          <a:off x="21333823" y="21450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20683</xdr:colOff>
      <xdr:row>13</xdr:row>
      <xdr:rowOff>76200</xdr:rowOff>
    </xdr:from>
    <xdr:to>
      <xdr:col>53</xdr:col>
      <xdr:colOff>20683</xdr:colOff>
      <xdr:row>13</xdr:row>
      <xdr:rowOff>76200</xdr:rowOff>
    </xdr:to>
    <xdr:cxnSp macro="">
      <xdr:nvCxnSpPr>
        <xdr:cNvPr id="47203" name="직선 화살표 연결선 47202">
          <a:extLst>
            <a:ext uri="{FF2B5EF4-FFF2-40B4-BE49-F238E27FC236}">
              <a16:creationId xmlns:a16="http://schemas.microsoft.com/office/drawing/2014/main" id="{37B2C3AB-17FD-71F0-361F-F9B054530234}"/>
            </a:ext>
          </a:extLst>
        </xdr:cNvPr>
        <xdr:cNvCxnSpPr/>
      </xdr:nvCxnSpPr>
      <xdr:spPr>
        <a:xfrm>
          <a:off x="21333823" y="220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20683</xdr:colOff>
      <xdr:row>12</xdr:row>
      <xdr:rowOff>19050</xdr:rowOff>
    </xdr:from>
    <xdr:to>
      <xdr:col>52</xdr:col>
      <xdr:colOff>125367</xdr:colOff>
      <xdr:row>12</xdr:row>
      <xdr:rowOff>133350</xdr:rowOff>
    </xdr:to>
    <xdr:sp macro="" textlink="">
      <xdr:nvSpPr>
        <xdr:cNvPr id="47204" name="9">
          <a:extLst>
            <a:ext uri="{FF2B5EF4-FFF2-40B4-BE49-F238E27FC236}">
              <a16:creationId xmlns:a16="http://schemas.microsoft.com/office/drawing/2014/main" id="{D09C6230-3057-EECB-4F8B-49DD072396D8}"/>
            </a:ext>
          </a:extLst>
        </xdr:cNvPr>
        <xdr:cNvSpPr/>
      </xdr:nvSpPr>
      <xdr:spPr>
        <a:xfrm>
          <a:off x="21189043" y="19926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20683</xdr:colOff>
      <xdr:row>12</xdr:row>
      <xdr:rowOff>76200</xdr:rowOff>
    </xdr:from>
    <xdr:to>
      <xdr:col>52</xdr:col>
      <xdr:colOff>20683</xdr:colOff>
      <xdr:row>12</xdr:row>
      <xdr:rowOff>76200</xdr:rowOff>
    </xdr:to>
    <xdr:cxnSp macro="">
      <xdr:nvCxnSpPr>
        <xdr:cNvPr id="47205" name="직선 화살표 연결선 47204">
          <a:extLst>
            <a:ext uri="{FF2B5EF4-FFF2-40B4-BE49-F238E27FC236}">
              <a16:creationId xmlns:a16="http://schemas.microsoft.com/office/drawing/2014/main" id="{65807E83-1E19-8E34-1D82-16BAED0CB4B6}"/>
            </a:ext>
          </a:extLst>
        </xdr:cNvPr>
        <xdr:cNvCxnSpPr/>
      </xdr:nvCxnSpPr>
      <xdr:spPr>
        <a:xfrm>
          <a:off x="21189043" y="204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20683</xdr:colOff>
      <xdr:row>11</xdr:row>
      <xdr:rowOff>19050</xdr:rowOff>
    </xdr:from>
    <xdr:to>
      <xdr:col>53</xdr:col>
      <xdr:colOff>125367</xdr:colOff>
      <xdr:row>11</xdr:row>
      <xdr:rowOff>133350</xdr:rowOff>
    </xdr:to>
    <xdr:sp macro="" textlink="">
      <xdr:nvSpPr>
        <xdr:cNvPr id="47206" name="8">
          <a:extLst>
            <a:ext uri="{FF2B5EF4-FFF2-40B4-BE49-F238E27FC236}">
              <a16:creationId xmlns:a16="http://schemas.microsoft.com/office/drawing/2014/main" id="{D23BFA17-42C2-32AC-CAC5-7EC6F958F1B0}"/>
            </a:ext>
          </a:extLst>
        </xdr:cNvPr>
        <xdr:cNvSpPr/>
      </xdr:nvSpPr>
      <xdr:spPr>
        <a:xfrm>
          <a:off x="21189043" y="184023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20683</xdr:colOff>
      <xdr:row>11</xdr:row>
      <xdr:rowOff>76200</xdr:rowOff>
    </xdr:from>
    <xdr:to>
      <xdr:col>52</xdr:col>
      <xdr:colOff>20683</xdr:colOff>
      <xdr:row>11</xdr:row>
      <xdr:rowOff>76200</xdr:rowOff>
    </xdr:to>
    <xdr:cxnSp macro="">
      <xdr:nvCxnSpPr>
        <xdr:cNvPr id="47207" name="직선 화살표 연결선 47206">
          <a:extLst>
            <a:ext uri="{FF2B5EF4-FFF2-40B4-BE49-F238E27FC236}">
              <a16:creationId xmlns:a16="http://schemas.microsoft.com/office/drawing/2014/main" id="{9EE72116-991B-BD59-E926-6CC6E7D6CE7D}"/>
            </a:ext>
          </a:extLst>
        </xdr:cNvPr>
        <xdr:cNvCxnSpPr/>
      </xdr:nvCxnSpPr>
      <xdr:spPr>
        <a:xfrm>
          <a:off x="21189043" y="189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41366</xdr:colOff>
      <xdr:row>10</xdr:row>
      <xdr:rowOff>19050</xdr:rowOff>
    </xdr:from>
    <xdr:to>
      <xdr:col>45</xdr:col>
      <xdr:colOff>125368</xdr:colOff>
      <xdr:row>10</xdr:row>
      <xdr:rowOff>133350</xdr:rowOff>
    </xdr:to>
    <xdr:sp macro="" textlink="">
      <xdr:nvSpPr>
        <xdr:cNvPr id="47208" name="7">
          <a:extLst>
            <a:ext uri="{FF2B5EF4-FFF2-40B4-BE49-F238E27FC236}">
              <a16:creationId xmlns:a16="http://schemas.microsoft.com/office/drawing/2014/main" id="{66E3FC90-356C-F58F-D3CD-7143F9F08375}"/>
            </a:ext>
          </a:extLst>
        </xdr:cNvPr>
        <xdr:cNvSpPr/>
      </xdr:nvSpPr>
      <xdr:spPr>
        <a:xfrm>
          <a:off x="20051486" y="1687830"/>
          <a:ext cx="2287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41366</xdr:colOff>
      <xdr:row>10</xdr:row>
      <xdr:rowOff>76200</xdr:rowOff>
    </xdr:from>
    <xdr:to>
      <xdr:col>44</xdr:col>
      <xdr:colOff>41366</xdr:colOff>
      <xdr:row>10</xdr:row>
      <xdr:rowOff>76200</xdr:rowOff>
    </xdr:to>
    <xdr:cxnSp macro="">
      <xdr:nvCxnSpPr>
        <xdr:cNvPr id="47209" name="직선 화살표 연결선 47208">
          <a:extLst>
            <a:ext uri="{FF2B5EF4-FFF2-40B4-BE49-F238E27FC236}">
              <a16:creationId xmlns:a16="http://schemas.microsoft.com/office/drawing/2014/main" id="{43A14C75-B47A-1DB0-4ABF-9CB1CB21239F}"/>
            </a:ext>
          </a:extLst>
        </xdr:cNvPr>
        <xdr:cNvCxnSpPr/>
      </xdr:nvCxnSpPr>
      <xdr:spPr>
        <a:xfrm>
          <a:off x="20051486" y="174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9</xdr:row>
      <xdr:rowOff>19050</xdr:rowOff>
    </xdr:from>
    <xdr:to>
      <xdr:col>53</xdr:col>
      <xdr:colOff>125367</xdr:colOff>
      <xdr:row>9</xdr:row>
      <xdr:rowOff>133350</xdr:rowOff>
    </xdr:to>
    <xdr:sp macro="" textlink="">
      <xdr:nvSpPr>
        <xdr:cNvPr id="47210" name="6">
          <a:extLst>
            <a:ext uri="{FF2B5EF4-FFF2-40B4-BE49-F238E27FC236}">
              <a16:creationId xmlns:a16="http://schemas.microsoft.com/office/drawing/2014/main" id="{D05BF0EA-C755-8752-5B8E-44859D9323A4}"/>
            </a:ext>
          </a:extLst>
        </xdr:cNvPr>
        <xdr:cNvSpPr/>
      </xdr:nvSpPr>
      <xdr:spPr>
        <a:xfrm>
          <a:off x="18293443" y="1535430"/>
          <a:ext cx="31450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9</xdr:row>
      <xdr:rowOff>76200</xdr:rowOff>
    </xdr:from>
    <xdr:to>
      <xdr:col>32</xdr:col>
      <xdr:colOff>20683</xdr:colOff>
      <xdr:row>9</xdr:row>
      <xdr:rowOff>76200</xdr:rowOff>
    </xdr:to>
    <xdr:cxnSp macro="">
      <xdr:nvCxnSpPr>
        <xdr:cNvPr id="47211" name="직선 화살표 연결선 47210">
          <a:extLst>
            <a:ext uri="{FF2B5EF4-FFF2-40B4-BE49-F238E27FC236}">
              <a16:creationId xmlns:a16="http://schemas.microsoft.com/office/drawing/2014/main" id="{F3EAAC96-576B-7B42-4819-7112AFAB964B}"/>
            </a:ext>
          </a:extLst>
        </xdr:cNvPr>
        <xdr:cNvCxnSpPr/>
      </xdr:nvCxnSpPr>
      <xdr:spPr>
        <a:xfrm>
          <a:off x="18293443" y="159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8</xdr:row>
      <xdr:rowOff>19050</xdr:rowOff>
    </xdr:from>
    <xdr:to>
      <xdr:col>53</xdr:col>
      <xdr:colOff>125367</xdr:colOff>
      <xdr:row>8</xdr:row>
      <xdr:rowOff>133350</xdr:rowOff>
    </xdr:to>
    <xdr:sp macro="" textlink="">
      <xdr:nvSpPr>
        <xdr:cNvPr id="47212" name="5">
          <a:extLst>
            <a:ext uri="{FF2B5EF4-FFF2-40B4-BE49-F238E27FC236}">
              <a16:creationId xmlns:a16="http://schemas.microsoft.com/office/drawing/2014/main" id="{741B459F-C742-1E5F-2CA0-4049E723790B}"/>
            </a:ext>
          </a:extLst>
        </xdr:cNvPr>
        <xdr:cNvSpPr/>
      </xdr:nvSpPr>
      <xdr:spPr>
        <a:xfrm>
          <a:off x="18293443" y="138303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8</xdr:row>
      <xdr:rowOff>76200</xdr:rowOff>
    </xdr:from>
    <xdr:to>
      <xdr:col>32</xdr:col>
      <xdr:colOff>20683</xdr:colOff>
      <xdr:row>8</xdr:row>
      <xdr:rowOff>76200</xdr:rowOff>
    </xdr:to>
    <xdr:cxnSp macro="">
      <xdr:nvCxnSpPr>
        <xdr:cNvPr id="47213" name="직선 화살표 연결선 47212">
          <a:extLst>
            <a:ext uri="{FF2B5EF4-FFF2-40B4-BE49-F238E27FC236}">
              <a16:creationId xmlns:a16="http://schemas.microsoft.com/office/drawing/2014/main" id="{105C7BCC-E7CF-3DB0-2BC6-EDD961458703}"/>
            </a:ext>
          </a:extLst>
        </xdr:cNvPr>
        <xdr:cNvCxnSpPr/>
      </xdr:nvCxnSpPr>
      <xdr:spPr>
        <a:xfrm>
          <a:off x="18293443" y="144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82731</xdr:colOff>
      <xdr:row>7</xdr:row>
      <xdr:rowOff>19050</xdr:rowOff>
    </xdr:from>
    <xdr:to>
      <xdr:col>33</xdr:col>
      <xdr:colOff>104684</xdr:colOff>
      <xdr:row>7</xdr:row>
      <xdr:rowOff>133350</xdr:rowOff>
    </xdr:to>
    <xdr:sp macro="" textlink="">
      <xdr:nvSpPr>
        <xdr:cNvPr id="47214" name="4">
          <a:extLst>
            <a:ext uri="{FF2B5EF4-FFF2-40B4-BE49-F238E27FC236}">
              <a16:creationId xmlns:a16="http://schemas.microsoft.com/office/drawing/2014/main" id="{59C32EF4-EA64-5A44-9510-7F52ABDF49F3}"/>
            </a:ext>
          </a:extLst>
        </xdr:cNvPr>
        <xdr:cNvSpPr/>
      </xdr:nvSpPr>
      <xdr:spPr>
        <a:xfrm>
          <a:off x="18500271" y="12306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82731</xdr:colOff>
      <xdr:row>7</xdr:row>
      <xdr:rowOff>76200</xdr:rowOff>
    </xdr:from>
    <xdr:to>
      <xdr:col>33</xdr:col>
      <xdr:colOff>82731</xdr:colOff>
      <xdr:row>7</xdr:row>
      <xdr:rowOff>76200</xdr:rowOff>
    </xdr:to>
    <xdr:cxnSp macro="">
      <xdr:nvCxnSpPr>
        <xdr:cNvPr id="47215" name="직선 화살표 연결선 47214">
          <a:extLst>
            <a:ext uri="{FF2B5EF4-FFF2-40B4-BE49-F238E27FC236}">
              <a16:creationId xmlns:a16="http://schemas.microsoft.com/office/drawing/2014/main" id="{798F187F-9A3C-F27F-73C6-6AD333925FF9}"/>
            </a:ext>
          </a:extLst>
        </xdr:cNvPr>
        <xdr:cNvCxnSpPr/>
      </xdr:nvCxnSpPr>
      <xdr:spPr>
        <a:xfrm>
          <a:off x="18500271" y="128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6</xdr:row>
      <xdr:rowOff>19050</xdr:rowOff>
    </xdr:from>
    <xdr:to>
      <xdr:col>33</xdr:col>
      <xdr:colOff>84000</xdr:colOff>
      <xdr:row>6</xdr:row>
      <xdr:rowOff>133350</xdr:rowOff>
    </xdr:to>
    <xdr:sp macro="" textlink="">
      <xdr:nvSpPr>
        <xdr:cNvPr id="47216" name="3">
          <a:extLst>
            <a:ext uri="{FF2B5EF4-FFF2-40B4-BE49-F238E27FC236}">
              <a16:creationId xmlns:a16="http://schemas.microsoft.com/office/drawing/2014/main" id="{0FE0EFD0-56E5-7C7B-C0E3-84FF7045D42A}"/>
            </a:ext>
          </a:extLst>
        </xdr:cNvPr>
        <xdr:cNvSpPr/>
      </xdr:nvSpPr>
      <xdr:spPr>
        <a:xfrm>
          <a:off x="18293443" y="1078230"/>
          <a:ext cx="208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6</xdr:row>
      <xdr:rowOff>76200</xdr:rowOff>
    </xdr:from>
    <xdr:to>
      <xdr:col>32</xdr:col>
      <xdr:colOff>20683</xdr:colOff>
      <xdr:row>6</xdr:row>
      <xdr:rowOff>76200</xdr:rowOff>
    </xdr:to>
    <xdr:cxnSp macro="">
      <xdr:nvCxnSpPr>
        <xdr:cNvPr id="47217" name="직선 화살표 연결선 47216">
          <a:extLst>
            <a:ext uri="{FF2B5EF4-FFF2-40B4-BE49-F238E27FC236}">
              <a16:creationId xmlns:a16="http://schemas.microsoft.com/office/drawing/2014/main" id="{0A99C1F7-EA8C-04F0-F665-AE39FD80FE9A}"/>
            </a:ext>
          </a:extLst>
        </xdr:cNvPr>
        <xdr:cNvCxnSpPr/>
      </xdr:nvCxnSpPr>
      <xdr:spPr>
        <a:xfrm>
          <a:off x="18293443" y="113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5</xdr:row>
      <xdr:rowOff>19050</xdr:rowOff>
    </xdr:from>
    <xdr:to>
      <xdr:col>33</xdr:col>
      <xdr:colOff>104684</xdr:colOff>
      <xdr:row>5</xdr:row>
      <xdr:rowOff>133350</xdr:rowOff>
    </xdr:to>
    <xdr:sp macro="" textlink="">
      <xdr:nvSpPr>
        <xdr:cNvPr id="47218" name="2">
          <a:extLst>
            <a:ext uri="{FF2B5EF4-FFF2-40B4-BE49-F238E27FC236}">
              <a16:creationId xmlns:a16="http://schemas.microsoft.com/office/drawing/2014/main" id="{AD68CB40-4BE5-EC09-132E-D23BE70C44E1}"/>
            </a:ext>
          </a:extLst>
        </xdr:cNvPr>
        <xdr:cNvSpPr/>
      </xdr:nvSpPr>
      <xdr:spPr>
        <a:xfrm>
          <a:off x="18293443" y="925830"/>
          <a:ext cx="2287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5</xdr:row>
      <xdr:rowOff>76200</xdr:rowOff>
    </xdr:from>
    <xdr:to>
      <xdr:col>32</xdr:col>
      <xdr:colOff>20683</xdr:colOff>
      <xdr:row>5</xdr:row>
      <xdr:rowOff>76200</xdr:rowOff>
    </xdr:to>
    <xdr:cxnSp macro="">
      <xdr:nvCxnSpPr>
        <xdr:cNvPr id="47219" name="직선 화살표 연결선 47218">
          <a:extLst>
            <a:ext uri="{FF2B5EF4-FFF2-40B4-BE49-F238E27FC236}">
              <a16:creationId xmlns:a16="http://schemas.microsoft.com/office/drawing/2014/main" id="{A5B84AB8-AADD-582C-E1D8-FF78D7EFFFB1}"/>
            </a:ext>
          </a:extLst>
        </xdr:cNvPr>
        <xdr:cNvCxnSpPr/>
      </xdr:nvCxnSpPr>
      <xdr:spPr>
        <a:xfrm>
          <a:off x="18293443" y="98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4</xdr:row>
      <xdr:rowOff>19050</xdr:rowOff>
    </xdr:from>
    <xdr:to>
      <xdr:col>53</xdr:col>
      <xdr:colOff>125367</xdr:colOff>
      <xdr:row>4</xdr:row>
      <xdr:rowOff>133350</xdr:rowOff>
    </xdr:to>
    <xdr:sp macro="" textlink="">
      <xdr:nvSpPr>
        <xdr:cNvPr id="47220" name="1">
          <a:extLst>
            <a:ext uri="{FF2B5EF4-FFF2-40B4-BE49-F238E27FC236}">
              <a16:creationId xmlns:a16="http://schemas.microsoft.com/office/drawing/2014/main" id="{8C379A5B-F921-5318-1D20-68926FCA3F1F}"/>
            </a:ext>
          </a:extLst>
        </xdr:cNvPr>
        <xdr:cNvSpPr/>
      </xdr:nvSpPr>
      <xdr:spPr>
        <a:xfrm>
          <a:off x="18293443" y="773430"/>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4</xdr:row>
      <xdr:rowOff>76200</xdr:rowOff>
    </xdr:from>
    <xdr:to>
      <xdr:col>32</xdr:col>
      <xdr:colOff>20683</xdr:colOff>
      <xdr:row>4</xdr:row>
      <xdr:rowOff>76200</xdr:rowOff>
    </xdr:to>
    <xdr:cxnSp macro="">
      <xdr:nvCxnSpPr>
        <xdr:cNvPr id="47221" name="직선 화살표 연결선 47220">
          <a:extLst>
            <a:ext uri="{FF2B5EF4-FFF2-40B4-BE49-F238E27FC236}">
              <a16:creationId xmlns:a16="http://schemas.microsoft.com/office/drawing/2014/main" id="{EDB25D90-DD20-1224-2DD4-9AA1A37A90A4}"/>
            </a:ext>
          </a:extLst>
        </xdr:cNvPr>
        <xdr:cNvCxnSpPr/>
      </xdr:nvCxnSpPr>
      <xdr:spPr>
        <a:xfrm>
          <a:off x="18293443" y="83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173355</xdr:colOff>
      <xdr:row>5</xdr:row>
      <xdr:rowOff>0</xdr:rowOff>
    </xdr:from>
    <xdr:to>
      <xdr:col>18</xdr:col>
      <xdr:colOff>584835</xdr:colOff>
      <xdr:row>18</xdr:row>
      <xdr:rowOff>0</xdr:rowOff>
    </xdr:to>
    <xdr:graphicFrame macro="">
      <xdr:nvGraphicFramePr>
        <xdr:cNvPr id="2" name="차트 1">
          <a:extLst>
            <a:ext uri="{FF2B5EF4-FFF2-40B4-BE49-F238E27FC236}">
              <a16:creationId xmlns:a16="http://schemas.microsoft.com/office/drawing/2014/main" id="{E2CE73EA-6FD5-82DA-9AFD-BADC2BD600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52280;&#44256;&#50857;/GS-PM-004-2.&#49464;&#48512;&#51068;&#51221;(WBS)_&#45236;&#48512;&#51089;&#49457;&#50857;_V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표지"/>
      <sheetName val="제개정이력"/>
      <sheetName val="WBS(수식용)"/>
      <sheetName val="주차"/>
      <sheetName val="holiday"/>
    </sheetNames>
    <sheetDataSet>
      <sheetData sheetId="0"/>
      <sheetData sheetId="1"/>
      <sheetData sheetId="2"/>
      <sheetData sheetId="3"/>
      <sheetData sheetId="4"/>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30" sqref="C30"/>
    </sheetView>
  </sheetViews>
  <sheetFormatPr defaultColWidth="10" defaultRowHeight="12.75"/>
  <cols>
    <col min="1" max="1" width="27.625" style="68" bestFit="1" customWidth="1"/>
    <col min="2" max="2" width="35.625" style="67" bestFit="1" customWidth="1"/>
    <col min="3" max="3" width="53.25" style="67" bestFit="1" customWidth="1"/>
    <col min="4" max="4" width="27.25" style="67" bestFit="1" customWidth="1"/>
    <col min="5" max="5" width="12.75" style="67" bestFit="1" customWidth="1"/>
    <col min="6" max="6" width="21.25" style="67" bestFit="1" customWidth="1"/>
    <col min="7" max="7" width="25.125" style="68" bestFit="1" customWidth="1"/>
    <col min="8" max="8" width="23.625" style="68" bestFit="1" customWidth="1"/>
    <col min="9" max="9" width="9.5" style="68" bestFit="1" customWidth="1"/>
    <col min="10" max="10" width="22.5" style="68" bestFit="1" customWidth="1"/>
    <col min="11" max="11" width="60.75" style="68" bestFit="1" customWidth="1"/>
    <col min="12" max="12" width="25.125" style="68" bestFit="1" customWidth="1"/>
    <col min="13" max="13" width="4.75" style="68" bestFit="1" customWidth="1"/>
    <col min="14" max="14" width="23" style="68" bestFit="1" customWidth="1"/>
    <col min="15" max="15" width="8" style="68" bestFit="1" customWidth="1"/>
    <col min="16" max="16" width="28.375" style="68" bestFit="1" customWidth="1"/>
    <col min="17" max="17" width="6" style="68" bestFit="1" customWidth="1"/>
    <col min="18" max="18" width="27.75" style="68" bestFit="1" customWidth="1"/>
    <col min="19" max="19" width="4.75" style="68" bestFit="1" customWidth="1"/>
    <col min="20" max="20" width="24.375" style="68" bestFit="1" customWidth="1"/>
    <col min="21" max="21" width="4.25" style="68" bestFit="1" customWidth="1"/>
    <col min="22" max="22" width="28.875" style="68" bestFit="1" customWidth="1"/>
    <col min="23" max="23" width="8" style="68" bestFit="1" customWidth="1"/>
    <col min="24" max="24" width="22.625" style="68" bestFit="1" customWidth="1"/>
    <col min="25" max="25" width="4.875" style="68" bestFit="1" customWidth="1"/>
    <col min="26" max="26" width="24.375" style="68" bestFit="1" customWidth="1"/>
    <col min="27" max="27" width="7.375" style="68" hidden="1" customWidth="1"/>
    <col min="28" max="28" width="19.75" style="68" bestFit="1" customWidth="1"/>
    <col min="29" max="29" width="4.25" style="68" bestFit="1" customWidth="1"/>
    <col min="30" max="30" width="15.375" style="68" bestFit="1" customWidth="1"/>
    <col min="31" max="31" width="39.625" style="68" bestFit="1" customWidth="1"/>
    <col min="32" max="32" width="35.75" style="68" bestFit="1" customWidth="1"/>
    <col min="33" max="33" width="4.875" style="68" bestFit="1" customWidth="1"/>
    <col min="34" max="34" width="24.25" style="68" bestFit="1" customWidth="1"/>
    <col min="35" max="35" width="8.75" style="68" bestFit="1" customWidth="1"/>
    <col min="36" max="36" width="26" style="68" bestFit="1" customWidth="1"/>
    <col min="37" max="37" width="4.625" style="68" bestFit="1" customWidth="1"/>
    <col min="38" max="38" width="35.625" style="68" bestFit="1" customWidth="1"/>
    <col min="39" max="39" width="33.375" style="68" bestFit="1" customWidth="1"/>
    <col min="40" max="40" width="22.625" style="68" bestFit="1" customWidth="1"/>
    <col min="41" max="41" width="5.25" style="68" bestFit="1" customWidth="1"/>
    <col min="42" max="42" width="16.625" style="68" bestFit="1" customWidth="1"/>
    <col min="43" max="43" width="93.375" style="68" bestFit="1" customWidth="1"/>
    <col min="44" max="44" width="21" style="68" bestFit="1" customWidth="1"/>
    <col min="45" max="45" width="5.5" style="68" bestFit="1" customWidth="1"/>
    <col min="46" max="46" width="14.875" style="68" bestFit="1" customWidth="1"/>
    <col min="47" max="47" width="28.625" style="68" bestFit="1" customWidth="1"/>
    <col min="48" max="48" width="22.625" style="68" bestFit="1" customWidth="1"/>
    <col min="49" max="49" width="4.875" style="68" bestFit="1" customWidth="1"/>
    <col min="50" max="50" width="15.625" style="68" bestFit="1" customWidth="1"/>
    <col min="51" max="51" width="10" style="68"/>
    <col min="52" max="52" width="13.125" style="68" bestFit="1" customWidth="1"/>
    <col min="53" max="53" width="10" style="68"/>
    <col min="54" max="54" width="14.875" style="68" bestFit="1" customWidth="1"/>
    <col min="55" max="55" width="10" style="68"/>
    <col min="56" max="56" width="22.625" style="68" bestFit="1" customWidth="1"/>
    <col min="57" max="57" width="10" style="68"/>
    <col min="58" max="58" width="15.625" style="68" bestFit="1" customWidth="1"/>
    <col min="59" max="59" width="10" style="68"/>
    <col min="60" max="60" width="13.125" style="68" bestFit="1" customWidth="1"/>
    <col min="61" max="61" width="10" style="68"/>
    <col min="62" max="62" width="14.875" style="68" bestFit="1" customWidth="1"/>
    <col min="63" max="63" width="10" style="68"/>
    <col min="64" max="64" width="22.625" style="68" bestFit="1" customWidth="1"/>
    <col min="65" max="65" width="10" style="68"/>
    <col min="66" max="66" width="33.75" style="68" bestFit="1" customWidth="1"/>
    <col min="67" max="16384" width="10" style="68"/>
  </cols>
  <sheetData>
    <row r="1" spans="1:64" s="67" customFormat="1">
      <c r="A1" s="66" t="s">
        <v>0</v>
      </c>
      <c r="B1" s="66" t="s">
        <v>1</v>
      </c>
      <c r="C1" s="66" t="s">
        <v>2</v>
      </c>
      <c r="D1" s="66" t="s">
        <v>3</v>
      </c>
      <c r="E1" s="66" t="s">
        <v>4</v>
      </c>
      <c r="F1" s="66" t="s">
        <v>5</v>
      </c>
    </row>
    <row r="2" spans="1:64">
      <c r="A2" s="68" t="s">
        <v>6</v>
      </c>
      <c r="B2" s="67" t="s">
        <v>7</v>
      </c>
      <c r="E2" s="67" t="s">
        <v>8</v>
      </c>
    </row>
    <row r="3" spans="1:64">
      <c r="A3" s="68" t="s">
        <v>9</v>
      </c>
      <c r="B3" s="67" t="s">
        <v>7</v>
      </c>
      <c r="E3" s="67" t="s">
        <v>8</v>
      </c>
    </row>
    <row r="4" spans="1:64">
      <c r="A4" s="68" t="s">
        <v>10</v>
      </c>
      <c r="B4" s="76" t="s">
        <v>11</v>
      </c>
      <c r="E4" s="67" t="s">
        <v>8</v>
      </c>
    </row>
    <row r="5" spans="1:64">
      <c r="A5" s="68" t="s">
        <v>12</v>
      </c>
      <c r="B5" s="67" t="s">
        <v>13</v>
      </c>
      <c r="E5" s="67" t="s">
        <v>8</v>
      </c>
    </row>
    <row r="6" spans="1:64" ht="13.5">
      <c r="A6" s="68" t="s">
        <v>14</v>
      </c>
      <c r="B6" s="145" t="s">
        <v>15</v>
      </c>
      <c r="E6" s="67" t="s">
        <v>8</v>
      </c>
    </row>
    <row r="7" spans="1:64">
      <c r="A7" s="68" t="s">
        <v>16</v>
      </c>
      <c r="B7" s="68" t="s">
        <v>7</v>
      </c>
      <c r="E7" s="67" t="s">
        <v>8</v>
      </c>
    </row>
    <row r="8" spans="1:64">
      <c r="A8" s="68" t="s">
        <v>17</v>
      </c>
      <c r="B8" s="69" t="s">
        <v>18</v>
      </c>
      <c r="C8" s="67" t="s">
        <v>1745</v>
      </c>
      <c r="D8" s="67">
        <v>82</v>
      </c>
      <c r="E8" s="67" t="s">
        <v>8</v>
      </c>
    </row>
    <row r="9" spans="1:64">
      <c r="A9" s="68" t="s">
        <v>19</v>
      </c>
      <c r="B9" s="70">
        <v>44346</v>
      </c>
      <c r="E9" s="67" t="s">
        <v>8</v>
      </c>
    </row>
    <row r="10" spans="1:64">
      <c r="A10" s="71" t="s">
        <v>20</v>
      </c>
      <c r="B10" s="72" t="s">
        <v>21</v>
      </c>
      <c r="C10" s="72"/>
      <c r="D10" s="72"/>
      <c r="E10" s="72" t="s">
        <v>8</v>
      </c>
      <c r="F10" s="72"/>
    </row>
    <row r="11" spans="1:64">
      <c r="A11" s="68" t="s">
        <v>22</v>
      </c>
      <c r="B11" s="70" t="s">
        <v>23</v>
      </c>
      <c r="C11" s="67" t="s">
        <v>24</v>
      </c>
      <c r="D11" s="67" t="s">
        <v>25</v>
      </c>
      <c r="E11" s="73">
        <v>1</v>
      </c>
      <c r="F11" s="74" t="s">
        <v>26</v>
      </c>
      <c r="G11" s="75">
        <v>44830</v>
      </c>
      <c r="H11" s="74" t="s">
        <v>27</v>
      </c>
      <c r="I11" s="75">
        <v>44981</v>
      </c>
      <c r="J11" s="68" t="s">
        <v>28</v>
      </c>
      <c r="K11" s="68" t="s">
        <v>1746</v>
      </c>
      <c r="L11" s="68" t="s">
        <v>29</v>
      </c>
      <c r="M11" s="68">
        <v>1</v>
      </c>
      <c r="N11" s="70" t="s">
        <v>30</v>
      </c>
      <c r="O11" s="67">
        <v>0</v>
      </c>
      <c r="P11" s="67" t="s">
        <v>31</v>
      </c>
      <c r="Q11" s="70" t="s">
        <v>32</v>
      </c>
      <c r="R11" s="68" t="s">
        <v>33</v>
      </c>
      <c r="S11" s="68">
        <v>1</v>
      </c>
      <c r="T11" s="68" t="s">
        <v>34</v>
      </c>
      <c r="U11" s="68">
        <v>1</v>
      </c>
      <c r="V11" s="68" t="s">
        <v>35</v>
      </c>
      <c r="W11" s="68">
        <v>1</v>
      </c>
      <c r="X11" s="68" t="s">
        <v>36</v>
      </c>
      <c r="Y11" s="68">
        <v>1</v>
      </c>
      <c r="Z11" s="68" t="s">
        <v>37</v>
      </c>
      <c r="AA11" s="68">
        <v>0</v>
      </c>
      <c r="AB11" s="68" t="s">
        <v>38</v>
      </c>
      <c r="AC11" s="68">
        <v>0</v>
      </c>
      <c r="AD11" s="68" t="s">
        <v>39</v>
      </c>
      <c r="AE11" s="68">
        <v>1</v>
      </c>
      <c r="AF11" s="68" t="s">
        <v>40</v>
      </c>
      <c r="AG11" s="68">
        <v>0</v>
      </c>
    </row>
    <row r="12" spans="1:64">
      <c r="A12" s="68" t="s">
        <v>41</v>
      </c>
      <c r="B12" s="68" t="s">
        <v>42</v>
      </c>
      <c r="C12" s="68">
        <v>1</v>
      </c>
      <c r="D12" s="68" t="s">
        <v>43</v>
      </c>
      <c r="E12" s="68">
        <v>1</v>
      </c>
      <c r="F12" s="68" t="s">
        <v>44</v>
      </c>
      <c r="G12" s="68">
        <v>0</v>
      </c>
      <c r="H12" s="68" t="s">
        <v>45</v>
      </c>
      <c r="I12" s="68">
        <v>1</v>
      </c>
      <c r="J12" s="68" t="s">
        <v>46</v>
      </c>
      <c r="K12" s="68">
        <v>0.7</v>
      </c>
      <c r="L12" s="68" t="s">
        <v>47</v>
      </c>
      <c r="M12" s="68">
        <v>2</v>
      </c>
      <c r="N12" s="68" t="s">
        <v>48</v>
      </c>
      <c r="O12" s="68">
        <v>1</v>
      </c>
      <c r="P12" s="68" t="s">
        <v>49</v>
      </c>
      <c r="Q12" s="68">
        <v>1</v>
      </c>
      <c r="R12" s="68" t="s">
        <v>50</v>
      </c>
      <c r="S12" s="68">
        <v>7</v>
      </c>
      <c r="T12" s="68" t="s">
        <v>51</v>
      </c>
      <c r="U12" s="68">
        <v>0</v>
      </c>
      <c r="V12" s="68" t="s">
        <v>52</v>
      </c>
      <c r="W12" s="68">
        <v>100</v>
      </c>
      <c r="X12" s="68" t="s">
        <v>53</v>
      </c>
      <c r="Y12" s="68">
        <v>0</v>
      </c>
      <c r="Z12" s="68" t="s">
        <v>54</v>
      </c>
      <c r="AA12" s="68">
        <v>1</v>
      </c>
      <c r="AB12" s="68" t="s">
        <v>55</v>
      </c>
      <c r="AC12" s="68">
        <v>1</v>
      </c>
      <c r="AD12" s="68" t="s">
        <v>56</v>
      </c>
      <c r="AE12" s="68">
        <v>1</v>
      </c>
      <c r="AF12" s="68" t="s">
        <v>57</v>
      </c>
      <c r="AG12" s="68">
        <v>2</v>
      </c>
      <c r="AH12" s="68" t="s">
        <v>58</v>
      </c>
      <c r="AI12" s="68">
        <v>9</v>
      </c>
      <c r="AJ12" s="68" t="s">
        <v>59</v>
      </c>
      <c r="AK12" s="68">
        <v>1</v>
      </c>
      <c r="AL12" s="68" t="s">
        <v>60</v>
      </c>
      <c r="AM12" s="68">
        <v>1</v>
      </c>
      <c r="AN12" s="68" t="s">
        <v>61</v>
      </c>
      <c r="AO12" s="68">
        <v>1</v>
      </c>
      <c r="AP12" s="68" t="s">
        <v>62</v>
      </c>
      <c r="AQ12" s="124" t="s">
        <v>63</v>
      </c>
      <c r="AR12" s="68" t="s">
        <v>64</v>
      </c>
      <c r="AS12" s="68">
        <v>-4131</v>
      </c>
    </row>
    <row r="13" spans="1:64">
      <c r="A13" s="67" t="s">
        <v>65</v>
      </c>
      <c r="B13" s="70" t="s">
        <v>66</v>
      </c>
      <c r="C13" s="67">
        <v>1</v>
      </c>
      <c r="D13" s="70" t="s">
        <v>67</v>
      </c>
      <c r="E13" s="67" t="s">
        <v>68</v>
      </c>
      <c r="F13" s="67" t="s">
        <v>69</v>
      </c>
      <c r="G13" s="74" t="s">
        <v>70</v>
      </c>
      <c r="H13" s="74" t="s">
        <v>71</v>
      </c>
      <c r="I13" s="68" t="s">
        <v>70</v>
      </c>
    </row>
    <row r="14" spans="1:64">
      <c r="A14" s="67" t="s">
        <v>72</v>
      </c>
      <c r="B14" s="73" t="s">
        <v>73</v>
      </c>
      <c r="C14" s="73" t="s">
        <v>74</v>
      </c>
      <c r="D14" s="73" t="s">
        <v>75</v>
      </c>
      <c r="E14" s="73" t="s">
        <v>76</v>
      </c>
      <c r="F14" s="73" t="s">
        <v>77</v>
      </c>
      <c r="G14" s="73" t="s">
        <v>78</v>
      </c>
      <c r="H14" s="73" t="s">
        <v>79</v>
      </c>
      <c r="I14" s="73" t="b">
        <v>0</v>
      </c>
      <c r="J14" s="73" t="s">
        <v>80</v>
      </c>
      <c r="K14" s="73" t="s">
        <v>81</v>
      </c>
      <c r="L14" s="73" t="s">
        <v>82</v>
      </c>
      <c r="M14" s="73" t="s">
        <v>83</v>
      </c>
      <c r="N14" s="73" t="s">
        <v>84</v>
      </c>
      <c r="O14" s="73" t="s">
        <v>78</v>
      </c>
      <c r="P14" s="73" t="s">
        <v>85</v>
      </c>
      <c r="Q14" s="73" t="b">
        <v>0</v>
      </c>
      <c r="R14" s="73" t="s">
        <v>86</v>
      </c>
      <c r="S14" s="73" t="s">
        <v>87</v>
      </c>
      <c r="T14" s="73" t="s">
        <v>88</v>
      </c>
      <c r="U14" s="73" t="s">
        <v>89</v>
      </c>
      <c r="V14" s="73" t="s">
        <v>90</v>
      </c>
      <c r="W14" s="73" t="s">
        <v>78</v>
      </c>
      <c r="X14" s="73" t="s">
        <v>91</v>
      </c>
      <c r="Y14" s="73" t="b">
        <v>1</v>
      </c>
      <c r="Z14" s="73" t="s">
        <v>92</v>
      </c>
      <c r="AA14" s="73" t="s">
        <v>93</v>
      </c>
      <c r="AB14" s="73" t="s">
        <v>94</v>
      </c>
      <c r="AC14" s="73" t="s">
        <v>95</v>
      </c>
      <c r="AD14" s="73" t="s">
        <v>96</v>
      </c>
      <c r="AE14" s="73" t="s">
        <v>97</v>
      </c>
      <c r="AF14" s="73" t="s">
        <v>98</v>
      </c>
      <c r="AG14" s="73" t="b">
        <v>1</v>
      </c>
      <c r="AH14" s="73" t="s">
        <v>99</v>
      </c>
      <c r="AI14" s="73" t="s">
        <v>100</v>
      </c>
      <c r="AJ14" s="73" t="s">
        <v>101</v>
      </c>
      <c r="AK14" s="73" t="s">
        <v>102</v>
      </c>
      <c r="AL14" s="73" t="s">
        <v>103</v>
      </c>
      <c r="AM14" s="73" t="s">
        <v>104</v>
      </c>
      <c r="AN14" s="73" t="s">
        <v>105</v>
      </c>
      <c r="AO14" s="73" t="b">
        <v>0</v>
      </c>
      <c r="AP14" s="73" t="s">
        <v>106</v>
      </c>
      <c r="AQ14" s="73" t="s">
        <v>107</v>
      </c>
      <c r="AR14" s="73" t="s">
        <v>108</v>
      </c>
      <c r="AS14" s="73" t="s">
        <v>109</v>
      </c>
      <c r="AT14" s="73" t="s">
        <v>110</v>
      </c>
      <c r="AU14" s="73" t="s">
        <v>111</v>
      </c>
      <c r="AV14" s="73" t="s">
        <v>112</v>
      </c>
      <c r="AW14" s="73" t="b">
        <v>1</v>
      </c>
      <c r="AX14" s="68" t="s">
        <v>113</v>
      </c>
      <c r="AZ14" s="68" t="s">
        <v>114</v>
      </c>
      <c r="BB14" s="68" t="s">
        <v>115</v>
      </c>
      <c r="BD14" s="68" t="s">
        <v>116</v>
      </c>
      <c r="BF14" s="68" t="s">
        <v>117</v>
      </c>
      <c r="BH14" s="68" t="s">
        <v>118</v>
      </c>
      <c r="BJ14" s="68" t="s">
        <v>119</v>
      </c>
      <c r="BL14" s="68" t="s">
        <v>120</v>
      </c>
    </row>
    <row r="15" spans="1:64">
      <c r="A15" s="67" t="s">
        <v>121</v>
      </c>
      <c r="B15" s="68" t="s">
        <v>122</v>
      </c>
      <c r="C15" s="68">
        <v>1</v>
      </c>
      <c r="D15" s="68" t="s">
        <v>123</v>
      </c>
      <c r="E15" s="68">
        <v>82</v>
      </c>
      <c r="F15" s="68" t="s">
        <v>124</v>
      </c>
      <c r="G15" s="68" t="s">
        <v>125</v>
      </c>
      <c r="H15" s="68" t="s">
        <v>126</v>
      </c>
      <c r="I15" s="68">
        <v>82</v>
      </c>
    </row>
  </sheetData>
  <phoneticPr fontId="2" type="noConversion"/>
  <hyperlinks>
    <hyperlink ref="B6" r:id="rId1" xr:uid="{00000000-0004-0000-0000-000000000000}"/>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0"/>
  </sheetPr>
  <dimension ref="A1:L34"/>
  <sheetViews>
    <sheetView showGridLines="0" zoomScale="90" zoomScaleNormal="90" workbookViewId="0">
      <selection activeCell="D11" sqref="D11:L11"/>
    </sheetView>
  </sheetViews>
  <sheetFormatPr defaultColWidth="9" defaultRowHeight="15.75"/>
  <cols>
    <col min="1" max="1" width="5.875" style="94" customWidth="1"/>
    <col min="2" max="2" width="29.875" style="116" customWidth="1"/>
    <col min="3" max="3" width="1.25" style="94" customWidth="1"/>
    <col min="4" max="11" width="9" style="94"/>
    <col min="12" max="12" width="19.5" style="94" customWidth="1"/>
    <col min="13" max="21" width="9" style="94"/>
    <col min="22" max="22" width="0" style="94" hidden="1" customWidth="1"/>
    <col min="23" max="26" width="9" style="94"/>
    <col min="27" max="27" width="0" style="94" hidden="1" customWidth="1"/>
    <col min="28" max="16384" width="9" style="94"/>
  </cols>
  <sheetData>
    <row r="1" spans="1:12" ht="20.25" customHeight="1">
      <c r="A1" s="225" t="s">
        <v>127</v>
      </c>
      <c r="B1" s="226"/>
      <c r="C1" s="226"/>
      <c r="D1" s="226"/>
      <c r="E1" s="226"/>
      <c r="F1" s="226"/>
      <c r="G1" s="226"/>
      <c r="H1" s="142"/>
      <c r="I1" s="142"/>
      <c r="J1" s="232" t="s">
        <v>128</v>
      </c>
      <c r="K1" s="233"/>
      <c r="L1" s="233"/>
    </row>
    <row r="2" spans="1:12" s="95" customFormat="1" ht="33.75" customHeight="1">
      <c r="A2" s="227"/>
      <c r="B2" s="228"/>
      <c r="C2" s="228"/>
      <c r="D2" s="228"/>
      <c r="E2" s="228"/>
      <c r="F2" s="228"/>
      <c r="G2" s="228"/>
      <c r="H2" s="236" t="s">
        <v>129</v>
      </c>
      <c r="I2" s="237"/>
      <c r="J2" s="237"/>
      <c r="K2" s="237"/>
      <c r="L2" s="237"/>
    </row>
    <row r="4" spans="1:12" ht="17.25" customHeight="1">
      <c r="B4" s="234" t="s">
        <v>130</v>
      </c>
      <c r="C4" s="234"/>
      <c r="D4" s="234"/>
      <c r="E4" s="234"/>
      <c r="F4" s="234"/>
      <c r="G4" s="234"/>
      <c r="H4" s="234"/>
      <c r="I4" s="234"/>
      <c r="J4" s="234"/>
      <c r="K4" s="234"/>
      <c r="L4" s="234"/>
    </row>
    <row r="5" spans="1:12" ht="27.75" customHeight="1">
      <c r="B5" s="234"/>
      <c r="C5" s="234"/>
      <c r="D5" s="234"/>
      <c r="E5" s="234"/>
      <c r="F5" s="234"/>
      <c r="G5" s="234"/>
      <c r="H5" s="234"/>
      <c r="I5" s="234"/>
      <c r="J5" s="234"/>
      <c r="K5" s="234"/>
      <c r="L5" s="234"/>
    </row>
    <row r="6" spans="1:12" s="95" customFormat="1" ht="12.75">
      <c r="B6" s="96"/>
    </row>
    <row r="7" spans="1:12" s="95" customFormat="1" ht="18.75">
      <c r="B7" s="97" t="s">
        <v>131</v>
      </c>
      <c r="D7" s="98"/>
    </row>
    <row r="8" spans="1:12" s="95" customFormat="1" ht="7.5" customHeight="1">
      <c r="B8" s="96"/>
    </row>
    <row r="9" spans="1:12" s="95" customFormat="1" ht="34.5" customHeight="1" thickBot="1">
      <c r="A9" s="99"/>
      <c r="B9" s="100" t="s">
        <v>132</v>
      </c>
      <c r="C9" s="99"/>
      <c r="D9" s="230" t="s">
        <v>133</v>
      </c>
      <c r="E9" s="230"/>
      <c r="F9" s="230"/>
      <c r="G9" s="230"/>
      <c r="H9" s="230"/>
      <c r="I9" s="230"/>
      <c r="J9" s="230"/>
      <c r="K9" s="230"/>
      <c r="L9" s="230"/>
    </row>
    <row r="10" spans="1:12" s="95" customFormat="1" ht="27.75" customHeight="1" thickTop="1" thickBot="1">
      <c r="A10" s="99"/>
      <c r="B10" s="101" t="s">
        <v>134</v>
      </c>
      <c r="C10" s="99"/>
      <c r="D10" s="230" t="s">
        <v>135</v>
      </c>
      <c r="E10" s="230"/>
      <c r="F10" s="230"/>
      <c r="G10" s="230"/>
      <c r="H10" s="230"/>
      <c r="I10" s="230"/>
      <c r="J10" s="230"/>
      <c r="K10" s="230"/>
      <c r="L10" s="230"/>
    </row>
    <row r="11" spans="1:12" s="95" customFormat="1" ht="27.75" customHeight="1" thickTop="1" thickBot="1">
      <c r="A11" s="99"/>
      <c r="B11" s="102" t="s">
        <v>136</v>
      </c>
      <c r="C11" s="99"/>
      <c r="D11" s="230" t="s">
        <v>137</v>
      </c>
      <c r="E11" s="230"/>
      <c r="F11" s="230"/>
      <c r="G11" s="230"/>
      <c r="H11" s="230"/>
      <c r="I11" s="230"/>
      <c r="J11" s="230"/>
      <c r="K11" s="230"/>
      <c r="L11" s="230"/>
    </row>
    <row r="12" spans="1:12" s="95" customFormat="1" ht="27.75" customHeight="1" thickTop="1" thickBot="1">
      <c r="A12" s="99"/>
      <c r="B12" s="103" t="s">
        <v>138</v>
      </c>
      <c r="C12" s="99"/>
      <c r="D12" s="230" t="s">
        <v>139</v>
      </c>
      <c r="E12" s="230"/>
      <c r="F12" s="230"/>
      <c r="G12" s="230"/>
      <c r="H12" s="230"/>
      <c r="I12" s="230"/>
      <c r="J12" s="230"/>
      <c r="K12" s="230"/>
      <c r="L12" s="230"/>
    </row>
    <row r="13" spans="1:12" s="95" customFormat="1" ht="27.75" customHeight="1" thickTop="1" thickBot="1">
      <c r="A13" s="99"/>
      <c r="B13" s="104" t="s">
        <v>140</v>
      </c>
      <c r="C13" s="99"/>
      <c r="D13" s="230" t="s">
        <v>141</v>
      </c>
      <c r="E13" s="230"/>
      <c r="F13" s="230"/>
      <c r="G13" s="230"/>
      <c r="H13" s="230"/>
      <c r="I13" s="230"/>
      <c r="J13" s="230"/>
      <c r="K13" s="230"/>
      <c r="L13" s="230"/>
    </row>
    <row r="14" spans="1:12" s="95" customFormat="1" ht="27.75" customHeight="1" thickTop="1" thickBot="1">
      <c r="A14" s="99"/>
      <c r="B14" s="104" t="s">
        <v>142</v>
      </c>
      <c r="C14" s="99"/>
      <c r="D14" s="235" t="s">
        <v>143</v>
      </c>
      <c r="E14" s="235"/>
      <c r="F14" s="235"/>
      <c r="G14" s="235"/>
      <c r="H14" s="235"/>
      <c r="I14" s="235"/>
      <c r="J14" s="235"/>
      <c r="K14" s="235"/>
      <c r="L14" s="235"/>
    </row>
    <row r="15" spans="1:12" s="95" customFormat="1" ht="27.75" customHeight="1" thickTop="1" thickBot="1">
      <c r="A15" s="99"/>
      <c r="B15" s="105" t="s">
        <v>144</v>
      </c>
      <c r="C15" s="99"/>
      <c r="D15" s="230" t="s">
        <v>145</v>
      </c>
      <c r="E15" s="230"/>
      <c r="F15" s="230"/>
      <c r="G15" s="230"/>
      <c r="H15" s="230"/>
      <c r="I15" s="230"/>
      <c r="J15" s="230"/>
      <c r="K15" s="230"/>
      <c r="L15" s="230"/>
    </row>
    <row r="16" spans="1:12" ht="16.5" thickTop="1">
      <c r="A16" s="106"/>
      <c r="B16" s="107"/>
      <c r="C16" s="106"/>
      <c r="D16" s="108"/>
      <c r="E16" s="108"/>
      <c r="F16" s="108"/>
      <c r="G16" s="108"/>
      <c r="H16" s="108"/>
      <c r="I16" s="108"/>
      <c r="J16" s="108"/>
      <c r="K16" s="108"/>
      <c r="L16" s="108"/>
    </row>
    <row r="17" spans="2:12" s="95" customFormat="1" ht="18.75">
      <c r="B17" s="97" t="s">
        <v>146</v>
      </c>
      <c r="D17" s="98"/>
    </row>
    <row r="18" spans="2:12" s="95" customFormat="1" ht="5.25" customHeight="1">
      <c r="B18" s="109"/>
      <c r="D18" s="98"/>
    </row>
    <row r="19" spans="2:12" s="95" customFormat="1" ht="24.75" customHeight="1" thickBot="1">
      <c r="B19" s="110" t="s">
        <v>147</v>
      </c>
      <c r="D19" s="229" t="s">
        <v>148</v>
      </c>
      <c r="E19" s="229"/>
      <c r="F19" s="229"/>
      <c r="G19" s="229"/>
      <c r="H19" s="229"/>
      <c r="I19" s="229"/>
      <c r="J19" s="229"/>
      <c r="K19" s="229"/>
      <c r="L19" s="117" t="s">
        <v>149</v>
      </c>
    </row>
    <row r="20" spans="2:12" s="95" customFormat="1" ht="41.25" customHeight="1" thickTop="1" thickBot="1">
      <c r="B20" s="110" t="s">
        <v>150</v>
      </c>
      <c r="D20" s="229" t="s">
        <v>151</v>
      </c>
      <c r="E20" s="229"/>
      <c r="F20" s="229"/>
      <c r="G20" s="229"/>
      <c r="H20" s="229"/>
      <c r="I20" s="229"/>
      <c r="J20" s="229"/>
      <c r="K20" s="229"/>
      <c r="L20" s="117" t="s">
        <v>149</v>
      </c>
    </row>
    <row r="21" spans="2:12" s="95" customFormat="1" ht="37.5" customHeight="1" thickTop="1" thickBot="1">
      <c r="B21" s="110" t="s">
        <v>152</v>
      </c>
      <c r="D21" s="229" t="s">
        <v>153</v>
      </c>
      <c r="E21" s="229"/>
      <c r="F21" s="229"/>
      <c r="G21" s="229"/>
      <c r="H21" s="229"/>
      <c r="I21" s="229"/>
      <c r="J21" s="229"/>
      <c r="K21" s="229"/>
      <c r="L21" s="117" t="s">
        <v>149</v>
      </c>
    </row>
    <row r="22" spans="2:12" s="95" customFormat="1" ht="41.25" customHeight="1" thickTop="1" thickBot="1">
      <c r="B22" s="110" t="s">
        <v>154</v>
      </c>
      <c r="D22" s="229" t="s">
        <v>155</v>
      </c>
      <c r="E22" s="229"/>
      <c r="F22" s="229"/>
      <c r="G22" s="229"/>
      <c r="H22" s="229"/>
      <c r="I22" s="229"/>
      <c r="J22" s="229"/>
      <c r="K22" s="229"/>
      <c r="L22" s="117" t="s">
        <v>149</v>
      </c>
    </row>
    <row r="23" spans="2:12" s="95" customFormat="1" ht="36" customHeight="1" thickTop="1" thickBot="1">
      <c r="B23" s="110" t="s">
        <v>156</v>
      </c>
      <c r="D23" s="229" t="s">
        <v>157</v>
      </c>
      <c r="E23" s="229"/>
      <c r="F23" s="229"/>
      <c r="G23" s="229"/>
      <c r="H23" s="229"/>
      <c r="I23" s="229"/>
      <c r="J23" s="229"/>
      <c r="K23" s="229"/>
      <c r="L23" s="117" t="s">
        <v>149</v>
      </c>
    </row>
    <row r="24" spans="2:12" s="95" customFormat="1" ht="52.5" customHeight="1" thickTop="1" thickBot="1">
      <c r="B24" s="110" t="s">
        <v>158</v>
      </c>
      <c r="D24" s="229" t="s">
        <v>159</v>
      </c>
      <c r="E24" s="229"/>
      <c r="F24" s="229"/>
      <c r="G24" s="229"/>
      <c r="H24" s="229"/>
      <c r="I24" s="229"/>
      <c r="J24" s="229"/>
      <c r="K24" s="229"/>
      <c r="L24" s="117" t="s">
        <v>149</v>
      </c>
    </row>
    <row r="25" spans="2:12" s="95" customFormat="1" ht="57" customHeight="1" thickTop="1" thickBot="1">
      <c r="B25" s="110" t="s">
        <v>160</v>
      </c>
      <c r="D25" s="229" t="s">
        <v>161</v>
      </c>
      <c r="E25" s="229"/>
      <c r="F25" s="229"/>
      <c r="G25" s="229"/>
      <c r="H25" s="229"/>
      <c r="I25" s="229"/>
      <c r="J25" s="229"/>
      <c r="K25" s="229"/>
      <c r="L25" s="117" t="s">
        <v>149</v>
      </c>
    </row>
    <row r="26" spans="2:12" s="95" customFormat="1" ht="48.75" customHeight="1" thickTop="1" thickBot="1">
      <c r="B26" s="110" t="s">
        <v>162</v>
      </c>
      <c r="D26" s="229" t="s">
        <v>163</v>
      </c>
      <c r="E26" s="229"/>
      <c r="F26" s="229"/>
      <c r="G26" s="229"/>
      <c r="H26" s="229"/>
      <c r="I26" s="229"/>
      <c r="J26" s="229"/>
      <c r="K26" s="229"/>
      <c r="L26" s="117" t="s">
        <v>149</v>
      </c>
    </row>
    <row r="27" spans="2:12" s="95" customFormat="1" ht="43.5" customHeight="1" thickTop="1" thickBot="1">
      <c r="B27" s="110" t="s">
        <v>164</v>
      </c>
      <c r="D27" s="229" t="s">
        <v>165</v>
      </c>
      <c r="E27" s="229"/>
      <c r="F27" s="229"/>
      <c r="G27" s="229"/>
      <c r="H27" s="229"/>
      <c r="I27" s="229"/>
      <c r="J27" s="229"/>
      <c r="K27" s="229"/>
      <c r="L27" s="117" t="s">
        <v>149</v>
      </c>
    </row>
    <row r="28" spans="2:12" s="95" customFormat="1" ht="43.5" customHeight="1" thickTop="1" thickBot="1">
      <c r="B28" s="110" t="s">
        <v>166</v>
      </c>
      <c r="D28" s="229" t="s">
        <v>167</v>
      </c>
      <c r="E28" s="229"/>
      <c r="F28" s="229"/>
      <c r="G28" s="229"/>
      <c r="H28" s="229"/>
      <c r="I28" s="229"/>
      <c r="J28" s="229"/>
      <c r="K28" s="229"/>
      <c r="L28" s="117" t="s">
        <v>149</v>
      </c>
    </row>
    <row r="29" spans="2:12" s="95" customFormat="1" ht="50.25" customHeight="1" thickTop="1" thickBot="1">
      <c r="B29" s="110" t="s">
        <v>138</v>
      </c>
      <c r="D29" s="229" t="s">
        <v>168</v>
      </c>
      <c r="E29" s="229"/>
      <c r="F29" s="229"/>
      <c r="G29" s="229"/>
      <c r="H29" s="229"/>
      <c r="I29" s="229"/>
      <c r="J29" s="229"/>
      <c r="K29" s="229"/>
      <c r="L29" s="117" t="s">
        <v>149</v>
      </c>
    </row>
    <row r="30" spans="2:12" s="95" customFormat="1" ht="57.75" customHeight="1" thickTop="1" thickBot="1">
      <c r="B30" s="110" t="s">
        <v>169</v>
      </c>
      <c r="D30" s="229" t="s">
        <v>170</v>
      </c>
      <c r="E30" s="229"/>
      <c r="F30" s="229"/>
      <c r="G30" s="229"/>
      <c r="H30" s="229"/>
      <c r="I30" s="229"/>
      <c r="J30" s="229"/>
      <c r="K30" s="229"/>
      <c r="L30" s="117" t="s">
        <v>149</v>
      </c>
    </row>
    <row r="31" spans="2:12" s="95" customFormat="1" ht="67.5" customHeight="1" thickTop="1" thickBot="1">
      <c r="B31" s="110" t="s">
        <v>171</v>
      </c>
      <c r="D31" s="229" t="s">
        <v>172</v>
      </c>
      <c r="E31" s="229"/>
      <c r="F31" s="229"/>
      <c r="G31" s="229"/>
      <c r="H31" s="229"/>
      <c r="I31" s="229"/>
      <c r="J31" s="229"/>
      <c r="K31" s="229"/>
      <c r="L31" s="117" t="s">
        <v>149</v>
      </c>
    </row>
    <row r="32" spans="2:12" s="95" customFormat="1" thickTop="1">
      <c r="B32" s="111"/>
      <c r="D32" s="98"/>
      <c r="L32" s="99"/>
    </row>
    <row r="33" spans="2:12" s="95" customFormat="1" ht="18.75" customHeight="1">
      <c r="B33" s="112" t="s">
        <v>173</v>
      </c>
      <c r="C33" s="113"/>
      <c r="D33" s="114"/>
      <c r="E33" s="113"/>
      <c r="F33" s="113"/>
      <c r="G33" s="113"/>
      <c r="H33" s="113"/>
      <c r="I33" s="113"/>
      <c r="J33" s="113"/>
      <c r="K33" s="113"/>
      <c r="L33" s="115"/>
    </row>
    <row r="34" spans="2:12" s="95" customFormat="1" ht="59.25" customHeight="1">
      <c r="B34" s="231" t="s">
        <v>174</v>
      </c>
      <c r="C34" s="231"/>
      <c r="D34" s="231"/>
      <c r="E34" s="231"/>
      <c r="F34" s="231"/>
      <c r="G34" s="231"/>
      <c r="H34" s="231"/>
      <c r="I34" s="231"/>
      <c r="J34" s="231"/>
      <c r="K34" s="231"/>
      <c r="L34" s="231"/>
    </row>
  </sheetData>
  <mergeCells count="25">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 ref="A1:G2"/>
    <mergeCell ref="D26:K26"/>
    <mergeCell ref="D27:K27"/>
    <mergeCell ref="D28:K28"/>
    <mergeCell ref="D11:L11"/>
    <mergeCell ref="D12:L12"/>
    <mergeCell ref="D15:L15"/>
    <mergeCell ref="D13:L13"/>
    <mergeCell ref="D24:K24"/>
  </mergeCells>
  <phoneticPr fontId="2" type="noConversion"/>
  <hyperlinks>
    <hyperlink ref="B9" location="Schedule!A1" display="Schedule" xr:uid="{00000000-0004-0000-0100-000000000000}"/>
    <hyperlink ref="B10" location="Progress!A1" display="Progress" xr:uid="{00000000-0004-0000-0100-000001000000}"/>
    <hyperlink ref="B11" location="AnalysisReport!A1" display="AnalysisReport" xr:uid="{00000000-0004-0000-0100-000002000000}"/>
    <hyperlink ref="B13" location="Workload!A1" display="Workload" xr:uid="{00000000-0004-0000-0100-000003000000}"/>
    <hyperlink ref="B14" location="ServerData!A1" display="ServerData" xr:uid="{00000000-0004-0000-0100-000004000000}"/>
    <hyperlink ref="L19" r:id="rId1" display="https://xlworks.net/xlgantt-easy-tip/" xr:uid="{00000000-0004-0000-0100-000005000000}"/>
    <hyperlink ref="L20" r:id="rId2" display="https://xlworks.net/xlgantt-howto-02-task/" xr:uid="{00000000-0004-0000-0100-000006000000}"/>
    <hyperlink ref="L21" r:id="rId3" display="https://xlworks.net/xlgantt-howto-03-gantt-chart/" xr:uid="{00000000-0004-0000-0100-000007000000}"/>
    <hyperlink ref="L23" r:id="rId4" display="https://xlworks.net/xlgantt-howto-05-analysis-report/" xr:uid="{00000000-0004-0000-0100-000008000000}"/>
    <hyperlink ref="L24" r:id="rId5" display="https://xlworks.net/xlgantt-howto-06-schedule-change-management/" xr:uid="{00000000-0004-0000-0100-000009000000}"/>
    <hyperlink ref="L25" r:id="rId6" display="https://xlworks.net/xlgantt-howto-07-deliverables/" xr:uid="{00000000-0004-0000-0100-00000A000000}"/>
    <hyperlink ref="L26" r:id="rId7" display="https://xlworks.net/xlgantt-howto-08-add-tasks-to-outlook/" xr:uid="{00000000-0004-0000-0100-00000B000000}"/>
    <hyperlink ref="L27" r:id="rId8" display="https://xlworks.net/xlgantt-howto-09-multilingual-support/" xr:uid="{00000000-0004-0000-0100-00000C000000}"/>
    <hyperlink ref="L28" r:id="rId9" display="https://xlworks.net/xlgantt-howto-10-import-schedule/" xr:uid="{00000000-0004-0000-0100-00000D000000}"/>
    <hyperlink ref="L29" r:id="rId10" display="https://xlworks.net/xlgantt-howto-11-calendar/" xr:uid="{00000000-0004-0000-0100-00000E000000}"/>
    <hyperlink ref="L30" r:id="rId11" display="https://xlworks.net/xlgantt-howto-12-integration-with-excel/" xr:uid="{00000000-0004-0000-0100-00000F000000}"/>
    <hyperlink ref="L22" r:id="rId12" display="https://xlworks.net/xlgantt-howto-04-project-progress/" xr:uid="{00000000-0004-0000-0100-000010000000}"/>
    <hyperlink ref="L31" r:id="rId13" display="https://xlworks.net/xlgantt-howto-13-server-data/" xr:uid="{00000000-0004-0000-0100-000011000000}"/>
    <hyperlink ref="B12" location="Calendar!A1" display="Calendar" xr:uid="{00000000-0004-0000-0100-000012000000}"/>
    <hyperlink ref="J1" r:id="rId14" display="https://xlworks.net/xlgantt-project-scheduler/" xr:uid="{00000000-0004-0000-0100-000013000000}"/>
    <hyperlink ref="H2" r:id="rId15" display="https://xlworks.net/xlgantt-project-scheduler/" xr:uid="{00000000-0004-0000-0100-000014000000}"/>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rgb="FF00A44A"/>
    <outlinePr summaryBelow="0"/>
    <pageSetUpPr fitToPage="1"/>
  </sheetPr>
  <dimension ref="A1:GD96"/>
  <sheetViews>
    <sheetView tabSelected="1" topLeftCell="D1" zoomScale="115" zoomScaleNormal="115" zoomScalePageLayoutView="55" workbookViewId="0">
      <pane ySplit="4" topLeftCell="A68" activePane="bottomLeft" state="frozen"/>
      <selection activeCell="E5" sqref="E5"/>
      <selection pane="bottomLeft" activeCell="M89" sqref="M89"/>
    </sheetView>
  </sheetViews>
  <sheetFormatPr defaultColWidth="10" defaultRowHeight="12" customHeight="1" outlineLevelRow="3"/>
  <cols>
    <col min="1" max="1" width="9.125" style="126" hidden="1" customWidth="1"/>
    <col min="2" max="2" width="9" style="126" hidden="1" customWidth="1"/>
    <col min="3" max="3" width="8.375" style="126" hidden="1" customWidth="1"/>
    <col min="4" max="4" width="9.75" style="143" customWidth="1"/>
    <col min="5" max="13" width="2.75" style="127" customWidth="1"/>
    <col min="14" max="14" width="13.125" style="127" customWidth="1"/>
    <col min="15" max="15" width="9.125" style="127" customWidth="1"/>
    <col min="16" max="16" width="8.25" style="127" customWidth="1"/>
    <col min="17" max="18" width="9.875" style="128" customWidth="1"/>
    <col min="19" max="19" width="7.625" style="127" customWidth="1"/>
    <col min="20" max="20" width="6.375" style="129" customWidth="1"/>
    <col min="21" max="21" width="4.875" style="129" customWidth="1"/>
    <col min="22" max="22" width="5.875" style="129" customWidth="1"/>
    <col min="23" max="23" width="5" style="129" customWidth="1"/>
    <col min="24" max="24" width="9.5" style="128" bestFit="1" customWidth="1"/>
    <col min="25" max="25" width="8.75" style="128" bestFit="1" customWidth="1"/>
    <col min="26" max="26" width="6.875" style="130" bestFit="1" customWidth="1"/>
    <col min="27" max="27" width="3" style="131" customWidth="1"/>
    <col min="28" max="28" width="3.875" style="129" customWidth="1"/>
    <col min="29" max="29" width="39.75" style="127" customWidth="1"/>
    <col min="30" max="30" width="39.25" style="132" customWidth="1"/>
    <col min="31" max="31" width="7.75" style="133" bestFit="1" customWidth="1"/>
    <col min="32" max="32" width="7.25" style="134" customWidth="1"/>
    <col min="33" max="186" width="1.875" style="224" customWidth="1"/>
    <col min="187" max="16384" width="10" style="224"/>
  </cols>
  <sheetData>
    <row r="1" spans="1:186" s="163" customFormat="1" ht="19.899999999999999" customHeight="1">
      <c r="A1" s="165"/>
      <c r="B1" s="166"/>
      <c r="C1" s="167"/>
      <c r="D1" s="187" t="e" cm="1">
        <f t="array" aca="1" ref="D1" ca="1">xlgantt.ProjectName()</f>
        <v>#NAME?</v>
      </c>
      <c r="E1" s="168"/>
      <c r="F1" s="168"/>
      <c r="G1" s="168"/>
      <c r="H1" s="168"/>
      <c r="I1" s="168"/>
      <c r="J1" s="168"/>
      <c r="K1" s="168"/>
      <c r="L1" s="168"/>
      <c r="M1" s="168"/>
      <c r="N1" s="168"/>
      <c r="O1" s="168"/>
      <c r="P1" s="168"/>
      <c r="Q1" s="168"/>
      <c r="R1" s="169"/>
      <c r="S1" s="170"/>
      <c r="T1" s="171"/>
      <c r="U1" s="172"/>
      <c r="V1" s="173"/>
      <c r="W1" s="173"/>
      <c r="X1" s="174"/>
      <c r="Y1" s="174"/>
      <c r="Z1" s="166"/>
      <c r="AA1" s="175"/>
      <c r="AB1" s="176"/>
      <c r="AC1" s="177"/>
      <c r="AD1" s="178"/>
      <c r="AE1" s="179"/>
      <c r="AF1" s="180" t="e" cm="1">
        <f t="array" aca="1" ref="AF1" ca="1">xlgantt.ProjectProgressString()</f>
        <v>#NAME?</v>
      </c>
      <c r="AG1" s="186" t="s">
        <v>175</v>
      </c>
      <c r="AH1" s="162"/>
      <c r="AI1" s="162"/>
      <c r="AJ1" s="162"/>
      <c r="AK1" s="162"/>
      <c r="AL1" s="162"/>
      <c r="AM1" s="162"/>
      <c r="AN1" s="162"/>
      <c r="AO1" s="162"/>
      <c r="AP1" s="162"/>
      <c r="AQ1" s="162"/>
      <c r="AR1" s="162"/>
      <c r="AS1" s="162"/>
      <c r="AT1" s="162"/>
      <c r="AU1" s="162"/>
      <c r="AV1" s="162"/>
      <c r="AW1" s="162"/>
      <c r="AX1" s="162"/>
      <c r="AY1" s="162"/>
      <c r="AZ1" s="162"/>
      <c r="BA1" s="162"/>
      <c r="BB1" s="162"/>
      <c r="BC1" s="162"/>
      <c r="BD1" s="162"/>
      <c r="BE1" s="162"/>
      <c r="BF1" s="162"/>
      <c r="BG1" s="162"/>
      <c r="BH1" s="162"/>
      <c r="BI1" s="162"/>
      <c r="BJ1" s="162"/>
      <c r="BK1" s="162"/>
    </row>
    <row r="2" spans="1:186" s="163" customFormat="1" ht="15" customHeight="1">
      <c r="A2" s="165"/>
      <c r="B2" s="165"/>
      <c r="C2" s="167"/>
      <c r="D2" s="257"/>
      <c r="E2" s="257"/>
      <c r="F2" s="257"/>
      <c r="G2" s="181"/>
      <c r="H2" s="182"/>
      <c r="I2" s="181"/>
      <c r="J2" s="181"/>
      <c r="K2" s="181"/>
      <c r="L2" s="181"/>
      <c r="M2" s="181"/>
      <c r="N2" s="181"/>
      <c r="O2" s="181"/>
      <c r="P2" s="181"/>
      <c r="Q2" s="181"/>
      <c r="R2" s="181"/>
      <c r="S2" s="181"/>
      <c r="T2" s="183"/>
      <c r="U2" s="183"/>
      <c r="V2" s="183"/>
      <c r="W2" s="183"/>
      <c r="X2" s="181"/>
      <c r="Y2" s="181"/>
      <c r="Z2" s="181"/>
      <c r="AA2" s="181"/>
      <c r="AB2" s="181"/>
      <c r="AC2" s="181"/>
      <c r="AD2" s="184"/>
      <c r="AE2" s="185"/>
      <c r="AF2" s="181" t="e" cm="1">
        <f t="array" aca="1" ref="AF2" ca="1">xlgantt.CommentOnHeadArea()</f>
        <v>#NAME?</v>
      </c>
      <c r="AG2" s="269" t="s">
        <v>176</v>
      </c>
      <c r="AH2" s="269"/>
      <c r="AI2" s="269"/>
      <c r="AJ2" s="269"/>
      <c r="AK2" s="269" t="s">
        <v>177</v>
      </c>
      <c r="AL2" s="269"/>
      <c r="AM2" s="269"/>
      <c r="AN2" s="269"/>
      <c r="AO2" s="269" t="s">
        <v>178</v>
      </c>
      <c r="AP2" s="269"/>
      <c r="AQ2" s="269"/>
      <c r="AR2" s="269"/>
      <c r="AS2" s="269" t="s">
        <v>179</v>
      </c>
      <c r="AT2" s="269"/>
      <c r="AU2" s="269"/>
      <c r="AV2" s="269"/>
      <c r="AW2" s="269" t="s">
        <v>180</v>
      </c>
      <c r="AX2" s="269"/>
      <c r="AY2" s="269"/>
      <c r="AZ2" s="269"/>
      <c r="BA2" s="269" t="s">
        <v>181</v>
      </c>
      <c r="BB2" s="269"/>
      <c r="BC2" s="269"/>
      <c r="BD2" s="269"/>
      <c r="BE2" s="216"/>
      <c r="BF2" s="216"/>
      <c r="BG2" s="216"/>
      <c r="BH2" s="216"/>
      <c r="BI2" s="216"/>
      <c r="BJ2" s="216"/>
      <c r="BK2" s="216"/>
      <c r="BL2" s="216"/>
      <c r="BM2" s="216"/>
      <c r="BN2" s="216"/>
      <c r="BO2" s="216"/>
      <c r="BP2" s="216"/>
      <c r="BQ2" s="216"/>
      <c r="BR2" s="216"/>
      <c r="BS2" s="216"/>
      <c r="BT2" s="216"/>
      <c r="BU2" s="216"/>
      <c r="BV2" s="216"/>
      <c r="BW2" s="216"/>
      <c r="BX2" s="216"/>
      <c r="BY2" s="216"/>
      <c r="BZ2" s="216"/>
      <c r="CA2" s="216"/>
      <c r="CB2" s="216"/>
      <c r="CC2" s="216"/>
      <c r="CD2" s="216"/>
      <c r="CE2" s="216"/>
      <c r="CF2" s="216"/>
      <c r="CG2" s="216"/>
      <c r="CH2" s="216"/>
      <c r="CI2" s="216"/>
      <c r="CJ2" s="216"/>
      <c r="CK2" s="216"/>
      <c r="CL2" s="216"/>
      <c r="CM2" s="216"/>
      <c r="CN2" s="216"/>
      <c r="CO2" s="216"/>
      <c r="CP2" s="216"/>
      <c r="CQ2" s="216"/>
      <c r="CR2" s="216"/>
      <c r="CS2" s="216"/>
      <c r="CT2" s="216"/>
      <c r="CU2" s="216"/>
      <c r="CV2" s="216"/>
      <c r="CW2" s="216"/>
      <c r="CX2" s="216"/>
      <c r="CY2" s="216"/>
      <c r="CZ2" s="216"/>
      <c r="DA2" s="216"/>
      <c r="DB2" s="216"/>
      <c r="DC2" s="216"/>
      <c r="DD2" s="216"/>
      <c r="DE2" s="216"/>
      <c r="DF2" s="216"/>
      <c r="DG2" s="216"/>
      <c r="DH2" s="216"/>
      <c r="DI2" s="216"/>
      <c r="DJ2" s="216"/>
      <c r="DK2" s="216"/>
      <c r="DL2" s="216"/>
      <c r="DM2" s="216"/>
      <c r="DN2" s="216"/>
      <c r="DO2" s="216"/>
      <c r="DP2" s="216"/>
      <c r="DQ2" s="216"/>
      <c r="DR2" s="216"/>
      <c r="DS2" s="216"/>
      <c r="DT2" s="216"/>
      <c r="DU2" s="216"/>
      <c r="DV2" s="216"/>
      <c r="DW2" s="216"/>
      <c r="DX2" s="216"/>
      <c r="DY2" s="216"/>
      <c r="DZ2" s="216"/>
      <c r="EA2" s="216"/>
      <c r="EB2" s="216"/>
      <c r="EC2" s="216"/>
      <c r="ED2" s="216"/>
      <c r="EE2" s="216"/>
      <c r="EF2" s="216"/>
      <c r="EG2" s="216"/>
      <c r="EH2" s="216"/>
      <c r="EI2" s="216"/>
      <c r="EJ2" s="216"/>
      <c r="EK2" s="216"/>
      <c r="EL2" s="216"/>
      <c r="EM2" s="216"/>
      <c r="EN2" s="216"/>
      <c r="EO2" s="216"/>
      <c r="EP2" s="216"/>
      <c r="EQ2" s="216"/>
      <c r="ER2" s="216"/>
      <c r="ES2" s="216"/>
      <c r="ET2" s="216"/>
      <c r="EU2" s="216"/>
      <c r="EV2" s="216"/>
      <c r="EW2" s="216"/>
      <c r="EX2" s="216"/>
      <c r="EY2" s="216"/>
      <c r="EZ2" s="216"/>
      <c r="FA2" s="216"/>
      <c r="FB2" s="216"/>
      <c r="FC2" s="216"/>
      <c r="FD2" s="216"/>
      <c r="FE2" s="216"/>
      <c r="FF2" s="216"/>
      <c r="FG2" s="216"/>
      <c r="FH2" s="216"/>
      <c r="FI2" s="216"/>
      <c r="FJ2" s="216"/>
      <c r="FK2" s="216"/>
      <c r="FL2" s="216"/>
      <c r="FM2" s="216"/>
      <c r="FN2" s="216"/>
      <c r="FO2" s="216"/>
      <c r="FP2" s="216"/>
      <c r="FQ2" s="216"/>
      <c r="FR2" s="216"/>
      <c r="FS2" s="216"/>
      <c r="FT2" s="216"/>
      <c r="FU2" s="216"/>
      <c r="FV2" s="216"/>
      <c r="FW2" s="216"/>
      <c r="FX2" s="216"/>
      <c r="FY2" s="216"/>
      <c r="FZ2" s="216"/>
      <c r="GA2" s="216"/>
      <c r="GB2" s="216"/>
      <c r="GC2" s="216"/>
      <c r="GD2" s="216"/>
    </row>
    <row r="3" spans="1:186" s="164" customFormat="1" ht="19.149999999999999" customHeight="1">
      <c r="A3" s="244" t="s">
        <v>182</v>
      </c>
      <c r="B3" s="246" t="s">
        <v>183</v>
      </c>
      <c r="C3" s="248" t="s">
        <v>184</v>
      </c>
      <c r="D3" s="249" t="s">
        <v>185</v>
      </c>
      <c r="E3" s="251" t="s">
        <v>186</v>
      </c>
      <c r="F3" s="252"/>
      <c r="G3" s="252"/>
      <c r="H3" s="252"/>
      <c r="I3" s="252"/>
      <c r="J3" s="252"/>
      <c r="K3" s="252"/>
      <c r="L3" s="252"/>
      <c r="M3" s="252"/>
      <c r="N3" s="252"/>
      <c r="O3" s="251" t="s">
        <v>1743</v>
      </c>
      <c r="P3" s="242" t="s">
        <v>187</v>
      </c>
      <c r="Q3" s="242" t="s">
        <v>188</v>
      </c>
      <c r="R3" s="242" t="s">
        <v>189</v>
      </c>
      <c r="S3" s="256" t="s">
        <v>190</v>
      </c>
      <c r="T3" s="258" t="s">
        <v>191</v>
      </c>
      <c r="U3" s="263" t="s">
        <v>192</v>
      </c>
      <c r="V3" s="258" t="s">
        <v>193</v>
      </c>
      <c r="W3" s="258" t="s">
        <v>194</v>
      </c>
      <c r="X3" s="260" t="s">
        <v>195</v>
      </c>
      <c r="Y3" s="260" t="s">
        <v>196</v>
      </c>
      <c r="Z3" s="265" t="s">
        <v>197</v>
      </c>
      <c r="AA3" s="261" t="s">
        <v>198</v>
      </c>
      <c r="AB3" s="254" t="s">
        <v>199</v>
      </c>
      <c r="AC3" s="242" t="s">
        <v>200</v>
      </c>
      <c r="AD3" s="256" t="s">
        <v>201</v>
      </c>
      <c r="AE3" s="240" t="s">
        <v>202</v>
      </c>
      <c r="AF3" s="238" t="s">
        <v>203</v>
      </c>
      <c r="AG3" s="271" t="s">
        <v>204</v>
      </c>
      <c r="AH3" s="268"/>
      <c r="AI3" s="268"/>
      <c r="AJ3" s="268"/>
      <c r="AK3" s="267" t="s">
        <v>205</v>
      </c>
      <c r="AL3" s="268"/>
      <c r="AM3" s="268"/>
      <c r="AN3" s="268"/>
      <c r="AO3" s="267" t="s">
        <v>206</v>
      </c>
      <c r="AP3" s="268"/>
      <c r="AQ3" s="268"/>
      <c r="AR3" s="268"/>
      <c r="AS3" s="267" t="s">
        <v>207</v>
      </c>
      <c r="AT3" s="268"/>
      <c r="AU3" s="268"/>
      <c r="AV3" s="268"/>
      <c r="AW3" s="267" t="s">
        <v>208</v>
      </c>
      <c r="AX3" s="268"/>
      <c r="AY3" s="268"/>
      <c r="AZ3" s="268"/>
      <c r="BA3" s="267" t="s">
        <v>209</v>
      </c>
      <c r="BB3" s="268"/>
      <c r="BC3" s="268"/>
      <c r="BD3" s="270"/>
    </row>
    <row r="4" spans="1:186" s="220" customFormat="1" ht="6" customHeight="1">
      <c r="A4" s="245"/>
      <c r="B4" s="247"/>
      <c r="C4" s="244"/>
      <c r="D4" s="250"/>
      <c r="E4" s="253"/>
      <c r="F4" s="252"/>
      <c r="G4" s="252"/>
      <c r="H4" s="252"/>
      <c r="I4" s="252"/>
      <c r="J4" s="252"/>
      <c r="K4" s="252"/>
      <c r="L4" s="252"/>
      <c r="M4" s="252"/>
      <c r="N4" s="252"/>
      <c r="O4" s="253"/>
      <c r="P4" s="243"/>
      <c r="Q4" s="243"/>
      <c r="R4" s="243"/>
      <c r="S4" s="250"/>
      <c r="T4" s="259"/>
      <c r="U4" s="264"/>
      <c r="V4" s="259"/>
      <c r="W4" s="259"/>
      <c r="X4" s="243"/>
      <c r="Y4" s="243"/>
      <c r="Z4" s="266"/>
      <c r="AA4" s="262"/>
      <c r="AB4" s="255"/>
      <c r="AC4" s="243"/>
      <c r="AD4" s="250"/>
      <c r="AE4" s="241"/>
      <c r="AF4" s="239"/>
      <c r="AG4" s="188">
        <v>44829</v>
      </c>
      <c r="AH4" s="189">
        <v>44836</v>
      </c>
      <c r="AI4" s="189">
        <v>44843</v>
      </c>
      <c r="AJ4" s="189">
        <v>44850</v>
      </c>
      <c r="AK4" s="189">
        <v>44857</v>
      </c>
      <c r="AL4" s="189">
        <v>44864</v>
      </c>
      <c r="AM4" s="189">
        <v>44871</v>
      </c>
      <c r="AN4" s="189">
        <v>44878</v>
      </c>
      <c r="AO4" s="189">
        <v>44885</v>
      </c>
      <c r="AP4" s="189">
        <v>44892</v>
      </c>
      <c r="AQ4" s="189">
        <v>44899</v>
      </c>
      <c r="AR4" s="189">
        <v>44906</v>
      </c>
      <c r="AS4" s="189">
        <v>44913</v>
      </c>
      <c r="AT4" s="189">
        <v>44920</v>
      </c>
      <c r="AU4" s="189">
        <v>44927</v>
      </c>
      <c r="AV4" s="189">
        <v>44934</v>
      </c>
      <c r="AW4" s="189">
        <v>44941</v>
      </c>
      <c r="AX4" s="189">
        <v>44948</v>
      </c>
      <c r="AY4" s="189">
        <v>44955</v>
      </c>
      <c r="AZ4" s="189">
        <v>44962</v>
      </c>
      <c r="BA4" s="189">
        <v>44969</v>
      </c>
      <c r="BB4" s="189">
        <v>44976</v>
      </c>
      <c r="BC4" s="210"/>
      <c r="BD4" s="209"/>
      <c r="BE4" s="219"/>
      <c r="BF4" s="219"/>
      <c r="BG4" s="219"/>
      <c r="BH4" s="219"/>
      <c r="BI4" s="219"/>
      <c r="BJ4" s="219"/>
      <c r="BK4" s="219"/>
      <c r="BL4" s="219"/>
      <c r="BM4" s="219"/>
      <c r="BN4" s="219"/>
      <c r="BO4" s="219"/>
      <c r="BP4" s="219"/>
      <c r="BQ4" s="219"/>
      <c r="BR4" s="219"/>
      <c r="BS4" s="219"/>
      <c r="BT4" s="219"/>
      <c r="BU4" s="219"/>
      <c r="BV4" s="219"/>
      <c r="BW4" s="219"/>
      <c r="BX4" s="219"/>
      <c r="BY4" s="219"/>
      <c r="BZ4" s="219"/>
      <c r="CA4" s="219"/>
      <c r="CB4" s="219"/>
      <c r="CC4" s="219"/>
      <c r="CD4" s="219"/>
      <c r="CE4" s="219"/>
      <c r="CF4" s="219"/>
      <c r="CG4" s="219"/>
      <c r="CH4" s="219"/>
      <c r="CI4" s="219"/>
      <c r="CJ4" s="219"/>
      <c r="CK4" s="219"/>
      <c r="CL4" s="219"/>
      <c r="CM4" s="219"/>
      <c r="CN4" s="219"/>
      <c r="CO4" s="219"/>
      <c r="CP4" s="219"/>
      <c r="CQ4" s="219"/>
      <c r="CR4" s="219"/>
      <c r="CS4" s="219"/>
      <c r="CT4" s="219"/>
      <c r="CU4" s="219"/>
      <c r="CV4" s="219"/>
      <c r="CW4" s="219"/>
      <c r="CX4" s="219"/>
      <c r="CY4" s="219"/>
      <c r="CZ4" s="219"/>
      <c r="DA4" s="219"/>
      <c r="DB4" s="219"/>
      <c r="DC4" s="219"/>
      <c r="DD4" s="219"/>
      <c r="DE4" s="219"/>
      <c r="DF4" s="219"/>
      <c r="DG4" s="219"/>
      <c r="DH4" s="219"/>
      <c r="DI4" s="219"/>
      <c r="DJ4" s="219"/>
      <c r="DK4" s="219"/>
      <c r="DL4" s="219"/>
      <c r="DM4" s="219"/>
      <c r="DN4" s="219"/>
      <c r="DO4" s="219"/>
      <c r="DP4" s="219"/>
      <c r="DQ4" s="219"/>
      <c r="DR4" s="219"/>
      <c r="DS4" s="219"/>
      <c r="DT4" s="219"/>
      <c r="DU4" s="219"/>
      <c r="DV4" s="219"/>
      <c r="DW4" s="219"/>
      <c r="DX4" s="219"/>
      <c r="DY4" s="219"/>
      <c r="DZ4" s="219"/>
      <c r="EA4" s="219"/>
      <c r="EB4" s="219"/>
      <c r="EC4" s="219"/>
      <c r="ED4" s="219"/>
      <c r="EE4" s="219"/>
      <c r="EF4" s="219"/>
      <c r="EG4" s="219"/>
      <c r="EH4" s="219"/>
      <c r="EI4" s="219"/>
      <c r="EJ4" s="219"/>
      <c r="EK4" s="219"/>
      <c r="EL4" s="219"/>
      <c r="EM4" s="219"/>
      <c r="EN4" s="219"/>
      <c r="EO4" s="219"/>
      <c r="EP4" s="219"/>
      <c r="EQ4" s="219"/>
      <c r="ER4" s="219"/>
      <c r="ES4" s="219"/>
      <c r="ET4" s="219"/>
      <c r="EU4" s="219"/>
      <c r="EV4" s="219"/>
      <c r="EW4" s="219"/>
      <c r="EX4" s="219"/>
      <c r="EY4" s="219"/>
      <c r="EZ4" s="219"/>
      <c r="FA4" s="219"/>
      <c r="FB4" s="219"/>
      <c r="FC4" s="219"/>
      <c r="FD4" s="219"/>
      <c r="FE4" s="219"/>
      <c r="FF4" s="219"/>
      <c r="FG4" s="219"/>
      <c r="FH4" s="219"/>
      <c r="FI4" s="219"/>
      <c r="FJ4" s="219"/>
      <c r="FK4" s="219"/>
      <c r="FL4" s="219"/>
      <c r="FM4" s="219"/>
      <c r="FN4" s="219"/>
      <c r="FO4" s="219"/>
      <c r="FP4" s="219"/>
      <c r="FQ4" s="219"/>
      <c r="FR4" s="219"/>
      <c r="FS4" s="219"/>
      <c r="FT4" s="219"/>
      <c r="FU4" s="219"/>
      <c r="FV4" s="219"/>
      <c r="FW4" s="219"/>
      <c r="FX4" s="219"/>
      <c r="FY4" s="219"/>
      <c r="FZ4" s="219"/>
      <c r="GA4" s="219"/>
      <c r="GB4" s="219"/>
      <c r="GC4" s="219"/>
      <c r="GD4" s="219"/>
    </row>
    <row r="5" spans="1:186" ht="12.75" customHeight="1">
      <c r="A5" s="199"/>
      <c r="B5" s="199" t="s">
        <v>210</v>
      </c>
      <c r="C5" s="199">
        <v>1</v>
      </c>
      <c r="D5" s="208" t="s">
        <v>211</v>
      </c>
      <c r="E5" s="200" t="s">
        <v>212</v>
      </c>
      <c r="F5" s="200"/>
      <c r="G5" s="200"/>
      <c r="H5" s="200"/>
      <c r="I5" s="200"/>
      <c r="J5" s="200"/>
      <c r="K5" s="200"/>
      <c r="L5" s="200"/>
      <c r="M5" s="200"/>
      <c r="N5" s="200"/>
      <c r="O5" s="200"/>
      <c r="P5" s="200"/>
      <c r="Q5" s="201">
        <v>44830</v>
      </c>
      <c r="R5" s="201">
        <v>44981</v>
      </c>
      <c r="S5" s="200"/>
      <c r="T5" s="202">
        <v>133</v>
      </c>
      <c r="U5" s="202">
        <v>121</v>
      </c>
      <c r="V5" s="202">
        <v>106</v>
      </c>
      <c r="W5" s="202">
        <v>100</v>
      </c>
      <c r="X5" s="201"/>
      <c r="Y5" s="201"/>
      <c r="Z5" s="203">
        <v>0</v>
      </c>
      <c r="AA5" s="204">
        <v>0</v>
      </c>
      <c r="AB5" s="202"/>
      <c r="AC5" s="200" t="s">
        <v>213</v>
      </c>
      <c r="AD5" s="205"/>
      <c r="AE5" s="206">
        <v>0.90977443609022557</v>
      </c>
      <c r="AF5" s="215">
        <v>0</v>
      </c>
      <c r="AG5" s="221" t="str">
        <f>" " &amp; TEXT(AF5,"#0.00%") &amp; " "</f>
        <v xml:space="preserve"> 0.00% </v>
      </c>
      <c r="AH5" s="222"/>
      <c r="AI5" s="222"/>
      <c r="AJ5" s="222"/>
      <c r="AK5" s="222"/>
      <c r="AL5" s="222"/>
      <c r="AM5" s="222"/>
      <c r="AN5" s="222"/>
      <c r="AO5" s="222"/>
      <c r="AP5" s="222"/>
      <c r="AQ5" s="222"/>
      <c r="AR5" s="222"/>
      <c r="AS5" s="222"/>
      <c r="AT5" s="222"/>
      <c r="AU5" s="222"/>
      <c r="AV5" s="222"/>
      <c r="AW5" s="222"/>
      <c r="AX5" s="222"/>
      <c r="AY5" s="222"/>
      <c r="AZ5" s="222"/>
      <c r="BA5" s="222"/>
      <c r="BB5" s="222" t="str">
        <f>"      " &amp; "프로젝트 관리" &amp; "(오주석)" &amp; " " &amp; IF(Q5="","",TEXT(Q5,"M/D-")) &amp; IF(R5="","",TEXT(R5,"M/D")) &amp; " "</f>
        <v xml:space="preserve">      프로젝트 관리(오주석) 9/26-2/24 </v>
      </c>
      <c r="BC5" s="222"/>
      <c r="BD5" s="223"/>
    </row>
    <row r="6" spans="1:186" ht="12.75" customHeight="1" outlineLevel="1">
      <c r="A6" s="199"/>
      <c r="B6" s="199" t="s">
        <v>210</v>
      </c>
      <c r="C6" s="199">
        <v>2</v>
      </c>
      <c r="D6" s="208" t="s">
        <v>214</v>
      </c>
      <c r="E6" s="200"/>
      <c r="F6" s="200" t="s">
        <v>215</v>
      </c>
      <c r="G6" s="200"/>
      <c r="H6" s="200"/>
      <c r="I6" s="200"/>
      <c r="J6" s="200"/>
      <c r="K6" s="200"/>
      <c r="L6" s="200"/>
      <c r="M6" s="200"/>
      <c r="N6" s="200"/>
      <c r="O6" s="200"/>
      <c r="P6" s="200"/>
      <c r="Q6" s="201">
        <v>44830</v>
      </c>
      <c r="R6" s="201">
        <v>44840</v>
      </c>
      <c r="S6" s="200"/>
      <c r="T6" s="202">
        <v>8</v>
      </c>
      <c r="U6" s="202">
        <v>8</v>
      </c>
      <c r="V6" s="202">
        <v>8</v>
      </c>
      <c r="W6" s="202">
        <v>8</v>
      </c>
      <c r="X6" s="201"/>
      <c r="Y6" s="201"/>
      <c r="Z6" s="203">
        <v>0</v>
      </c>
      <c r="AA6" s="204">
        <v>0</v>
      </c>
      <c r="AB6" s="202"/>
      <c r="AC6" s="200" t="s">
        <v>213</v>
      </c>
      <c r="AD6" s="205"/>
      <c r="AE6" s="206">
        <v>1</v>
      </c>
      <c r="AF6" s="215">
        <v>0</v>
      </c>
      <c r="AG6" s="221" t="str">
        <f>" " &amp; TEXT(AF6,"#0.00%") &amp; " " &amp; "프로젝트 시작" &amp; "(오주석)" &amp; " " &amp; IF(Q6="","",TEXT(Q6,"M/D-")) &amp; IF(R6="","",TEXT(R6,"M/D")) &amp; " "</f>
        <v xml:space="preserve"> 0.00% 프로젝트 시작(오주석) 9/26-10/6 </v>
      </c>
      <c r="AH6" s="222"/>
      <c r="AI6" s="222"/>
      <c r="AJ6" s="222"/>
      <c r="AK6" s="222"/>
      <c r="AL6" s="222"/>
      <c r="AM6" s="222"/>
      <c r="AN6" s="222"/>
      <c r="AO6" s="222"/>
      <c r="AP6" s="222"/>
      <c r="AQ6" s="222"/>
      <c r="AR6" s="222"/>
      <c r="AS6" s="222"/>
      <c r="AT6" s="222"/>
      <c r="AU6" s="222"/>
      <c r="AV6" s="222"/>
      <c r="AW6" s="222"/>
      <c r="AX6" s="222"/>
      <c r="AY6" s="222"/>
      <c r="AZ6" s="222"/>
      <c r="BA6" s="222"/>
      <c r="BB6" s="222"/>
      <c r="BC6" s="222"/>
    </row>
    <row r="7" spans="1:186" ht="12.75" customHeight="1" outlineLevel="2">
      <c r="A7" s="199"/>
      <c r="B7" s="199"/>
      <c r="C7" s="199">
        <v>3</v>
      </c>
      <c r="D7" s="208" t="s">
        <v>216</v>
      </c>
      <c r="E7" s="200"/>
      <c r="F7" s="200"/>
      <c r="G7" s="200" t="s">
        <v>217</v>
      </c>
      <c r="H7" s="200"/>
      <c r="I7" s="200"/>
      <c r="J7" s="200"/>
      <c r="K7" s="200"/>
      <c r="L7" s="200"/>
      <c r="M7" s="200"/>
      <c r="N7" s="200"/>
      <c r="O7" s="200"/>
      <c r="P7" s="200"/>
      <c r="Q7" s="201">
        <v>44830</v>
      </c>
      <c r="R7" s="201">
        <v>44839</v>
      </c>
      <c r="S7" s="200"/>
      <c r="T7" s="202">
        <v>7</v>
      </c>
      <c r="U7" s="202">
        <v>7</v>
      </c>
      <c r="V7" s="202">
        <v>7</v>
      </c>
      <c r="W7" s="202">
        <v>7</v>
      </c>
      <c r="X7" s="201">
        <v>44830</v>
      </c>
      <c r="Y7" s="201">
        <v>44838</v>
      </c>
      <c r="Z7" s="203">
        <v>6</v>
      </c>
      <c r="AA7" s="204">
        <v>6</v>
      </c>
      <c r="AB7" s="202">
        <v>1</v>
      </c>
      <c r="AC7" s="200" t="s">
        <v>213</v>
      </c>
      <c r="AD7" s="205" t="s">
        <v>218</v>
      </c>
      <c r="AE7" s="206">
        <v>1</v>
      </c>
      <c r="AF7" s="214">
        <v>0</v>
      </c>
      <c r="AG7" s="221" t="str">
        <f>" " &amp; TEXT(AF7,"#0.00%") &amp; " " &amp; "착수보고작성" &amp; "(오주석)" &amp; " " &amp; IF(Q7="","",TEXT(Q7,"M/D-")) &amp; IF(R7="","",TEXT(R7,"M/D")) &amp; " "</f>
        <v xml:space="preserve"> 0.00% 착수보고작성(오주석) 9/26-10/5 </v>
      </c>
      <c r="AH7" s="222"/>
      <c r="AI7" s="222"/>
      <c r="AJ7" s="222"/>
      <c r="AK7" s="222"/>
      <c r="AL7" s="222"/>
      <c r="AM7" s="222"/>
      <c r="AN7" s="222"/>
      <c r="AO7" s="222"/>
      <c r="AP7" s="222"/>
      <c r="AQ7" s="222"/>
      <c r="AR7" s="222"/>
      <c r="AS7" s="222"/>
      <c r="AT7" s="222"/>
      <c r="AU7" s="222"/>
      <c r="AV7" s="222"/>
      <c r="AW7" s="222"/>
      <c r="AX7" s="222"/>
      <c r="AY7" s="222"/>
      <c r="AZ7" s="222"/>
      <c r="BA7" s="222"/>
      <c r="BB7" s="222"/>
      <c r="BC7" s="222"/>
    </row>
    <row r="8" spans="1:186" ht="12.75" customHeight="1" outlineLevel="2">
      <c r="A8" s="199"/>
      <c r="B8" s="199"/>
      <c r="C8" s="199">
        <v>3</v>
      </c>
      <c r="D8" s="208" t="s">
        <v>219</v>
      </c>
      <c r="E8" s="200"/>
      <c r="F8" s="200"/>
      <c r="G8" s="200" t="s">
        <v>220</v>
      </c>
      <c r="H8" s="200"/>
      <c r="I8" s="200"/>
      <c r="J8" s="200"/>
      <c r="K8" s="200"/>
      <c r="L8" s="200"/>
      <c r="M8" s="200"/>
      <c r="N8" s="200"/>
      <c r="O8" s="200"/>
      <c r="P8" s="200"/>
      <c r="Q8" s="201">
        <v>44840</v>
      </c>
      <c r="R8" s="201">
        <v>44840</v>
      </c>
      <c r="S8" s="200"/>
      <c r="T8" s="202">
        <v>1</v>
      </c>
      <c r="U8" s="202">
        <v>1</v>
      </c>
      <c r="V8" s="202">
        <v>1</v>
      </c>
      <c r="W8" s="202">
        <v>1</v>
      </c>
      <c r="X8" s="201">
        <v>44840</v>
      </c>
      <c r="Y8" s="201">
        <v>44840</v>
      </c>
      <c r="Z8" s="203">
        <v>1</v>
      </c>
      <c r="AA8" s="204">
        <v>1</v>
      </c>
      <c r="AB8" s="202">
        <v>1</v>
      </c>
      <c r="AC8" s="200" t="s">
        <v>213</v>
      </c>
      <c r="AD8" s="205"/>
      <c r="AE8" s="206">
        <v>1</v>
      </c>
      <c r="AF8" s="214">
        <v>0</v>
      </c>
      <c r="AG8" s="221"/>
      <c r="AH8" s="222" t="str">
        <f>"    " &amp; TEXT(AF8,"#0.00%") &amp; " " &amp; "착수보고" &amp; "(오주석)" &amp; " " &amp; IF(Q8="","",TEXT(Q8,"M/D-")) &amp; IF(R8="","",TEXT(R8,"M/D")) &amp; " "</f>
        <v xml:space="preserve">    0.00% 착수보고(오주석) 10/6-10/6 </v>
      </c>
      <c r="AI8" s="222"/>
      <c r="AJ8" s="222"/>
      <c r="AK8" s="222"/>
      <c r="AL8" s="222"/>
      <c r="AM8" s="222"/>
      <c r="AN8" s="222"/>
      <c r="AO8" s="222"/>
      <c r="AP8" s="222"/>
      <c r="AQ8" s="222"/>
      <c r="AR8" s="222"/>
      <c r="AS8" s="222"/>
      <c r="AT8" s="222"/>
      <c r="AU8" s="222"/>
      <c r="AV8" s="222"/>
      <c r="AW8" s="222"/>
      <c r="AX8" s="222"/>
      <c r="AY8" s="222"/>
      <c r="AZ8" s="222"/>
      <c r="BA8" s="222"/>
      <c r="BB8" s="222"/>
      <c r="BC8" s="222"/>
    </row>
    <row r="9" spans="1:186" ht="12.75" customHeight="1" outlineLevel="1">
      <c r="A9" s="199"/>
      <c r="B9" s="199" t="s">
        <v>210</v>
      </c>
      <c r="C9" s="199">
        <v>2</v>
      </c>
      <c r="D9" s="208" t="s">
        <v>221</v>
      </c>
      <c r="E9" s="200"/>
      <c r="F9" s="200" t="s">
        <v>222</v>
      </c>
      <c r="G9" s="200"/>
      <c r="H9" s="200"/>
      <c r="I9" s="200"/>
      <c r="J9" s="200"/>
      <c r="K9" s="200"/>
      <c r="L9" s="200"/>
      <c r="M9" s="200"/>
      <c r="N9" s="200"/>
      <c r="O9" s="200"/>
      <c r="P9" s="200"/>
      <c r="Q9" s="201">
        <v>44830</v>
      </c>
      <c r="R9" s="201">
        <v>44981</v>
      </c>
      <c r="S9" s="200"/>
      <c r="T9" s="202">
        <v>115</v>
      </c>
      <c r="U9" s="202">
        <v>109</v>
      </c>
      <c r="V9" s="202">
        <v>106</v>
      </c>
      <c r="W9" s="202">
        <v>100</v>
      </c>
      <c r="X9" s="201"/>
      <c r="Y9" s="201"/>
      <c r="Z9" s="203">
        <v>0</v>
      </c>
      <c r="AA9" s="204">
        <v>0</v>
      </c>
      <c r="AB9" s="202"/>
      <c r="AC9" s="200" t="s">
        <v>213</v>
      </c>
      <c r="AD9" s="205"/>
      <c r="AE9" s="206">
        <v>0.94782608695652171</v>
      </c>
      <c r="AF9" s="215">
        <v>0</v>
      </c>
      <c r="AG9" s="221" t="str">
        <f>" " &amp; TEXT(AF9,"#0.00%") &amp; " "</f>
        <v xml:space="preserve"> 0.00% </v>
      </c>
      <c r="AH9" s="222"/>
      <c r="AI9" s="222"/>
      <c r="AJ9" s="222"/>
      <c r="AK9" s="222"/>
      <c r="AL9" s="222"/>
      <c r="AM9" s="222"/>
      <c r="AN9" s="222"/>
      <c r="AO9" s="222"/>
      <c r="AP9" s="222"/>
      <c r="AQ9" s="222"/>
      <c r="AR9" s="222"/>
      <c r="AS9" s="222"/>
      <c r="AT9" s="222"/>
      <c r="AU9" s="222"/>
      <c r="AV9" s="222"/>
      <c r="AW9" s="222"/>
      <c r="AX9" s="222"/>
      <c r="AY9" s="222"/>
      <c r="AZ9" s="222"/>
      <c r="BA9" s="222"/>
      <c r="BB9" s="222" t="str">
        <f>"      " &amp; "프로젝트 진행관리" &amp; "(오주석)" &amp; " " &amp; IF(Q9="","",TEXT(Q9,"M/D-")) &amp; IF(R9="","",TEXT(R9,"M/D")) &amp; " "</f>
        <v xml:space="preserve">      프로젝트 진행관리(오주석) 9/26-2/24 </v>
      </c>
      <c r="BC9" s="222"/>
    </row>
    <row r="10" spans="1:186" ht="12.75" customHeight="1" outlineLevel="2">
      <c r="A10" s="199"/>
      <c r="B10" s="199"/>
      <c r="C10" s="199">
        <v>3</v>
      </c>
      <c r="D10" s="208" t="s">
        <v>223</v>
      </c>
      <c r="E10" s="200"/>
      <c r="F10" s="200"/>
      <c r="G10" s="200" t="s">
        <v>224</v>
      </c>
      <c r="H10" s="200"/>
      <c r="I10" s="200"/>
      <c r="J10" s="200"/>
      <c r="K10" s="200"/>
      <c r="L10" s="200"/>
      <c r="M10" s="200"/>
      <c r="N10" s="200"/>
      <c r="O10" s="200"/>
      <c r="P10" s="200"/>
      <c r="Q10" s="201">
        <v>44830</v>
      </c>
      <c r="R10" s="201">
        <v>44981</v>
      </c>
      <c r="S10" s="200"/>
      <c r="T10" s="202">
        <v>106</v>
      </c>
      <c r="U10" s="202">
        <v>100</v>
      </c>
      <c r="V10" s="202">
        <v>106</v>
      </c>
      <c r="W10" s="202">
        <v>100</v>
      </c>
      <c r="X10" s="201">
        <v>44830</v>
      </c>
      <c r="Y10" s="201"/>
      <c r="Z10" s="203">
        <v>-32021</v>
      </c>
      <c r="AA10" s="204">
        <v>0</v>
      </c>
      <c r="AB10" s="202">
        <v>1</v>
      </c>
      <c r="AC10" s="200" t="s">
        <v>213</v>
      </c>
      <c r="AD10" s="205"/>
      <c r="AE10" s="206">
        <v>0.94339622641509435</v>
      </c>
      <c r="AF10" s="214">
        <v>0</v>
      </c>
      <c r="AG10" s="221" t="str">
        <f>" " &amp; TEXT(AF10,"#0.00%") &amp; " "</f>
        <v xml:space="preserve"> 0.00% </v>
      </c>
      <c r="AH10" s="222"/>
      <c r="AI10" s="222"/>
      <c r="AJ10" s="222"/>
      <c r="AK10" s="222"/>
      <c r="AL10" s="222"/>
      <c r="AM10" s="222"/>
      <c r="AN10" s="222"/>
      <c r="AO10" s="222"/>
      <c r="AP10" s="222"/>
      <c r="AQ10" s="222"/>
      <c r="AR10" s="222"/>
      <c r="AS10" s="222"/>
      <c r="AT10" s="222"/>
      <c r="AU10" s="222"/>
      <c r="AV10" s="222"/>
      <c r="AW10" s="222"/>
      <c r="AX10" s="222"/>
      <c r="AY10" s="222"/>
      <c r="AZ10" s="222"/>
      <c r="BA10" s="222"/>
      <c r="BB10" s="222" t="str">
        <f>"      " &amp; "주간보고" &amp; "(오주석)" &amp; " " &amp; IF(Q10="","",TEXT(Q10,"M/D-")) &amp; IF(R10="","",TEXT(R10,"M/D")) &amp; " "</f>
        <v xml:space="preserve">      주간보고(오주석) 9/26-2/24 </v>
      </c>
      <c r="BC10" s="222"/>
    </row>
    <row r="11" spans="1:186" ht="12.75" customHeight="1" outlineLevel="2">
      <c r="A11" s="199"/>
      <c r="B11" s="199"/>
      <c r="C11" s="199">
        <v>3</v>
      </c>
      <c r="D11" s="208" t="s">
        <v>225</v>
      </c>
      <c r="E11" s="200"/>
      <c r="F11" s="200"/>
      <c r="G11" s="200" t="s">
        <v>1735</v>
      </c>
      <c r="H11" s="200"/>
      <c r="I11" s="200"/>
      <c r="J11" s="200"/>
      <c r="K11" s="200"/>
      <c r="L11" s="200"/>
      <c r="M11" s="200"/>
      <c r="N11" s="200"/>
      <c r="O11" s="218"/>
      <c r="P11" s="200"/>
      <c r="Q11" s="201">
        <v>44915</v>
      </c>
      <c r="R11" s="201">
        <v>44925</v>
      </c>
      <c r="S11" s="200"/>
      <c r="T11" s="202">
        <v>9</v>
      </c>
      <c r="U11" s="202">
        <v>9</v>
      </c>
      <c r="V11" s="202">
        <v>9</v>
      </c>
      <c r="W11" s="202">
        <v>9</v>
      </c>
      <c r="X11" s="201">
        <v>44918</v>
      </c>
      <c r="Y11" s="201">
        <v>44918</v>
      </c>
      <c r="Z11" s="203">
        <v>1</v>
      </c>
      <c r="AA11" s="204">
        <v>1</v>
      </c>
      <c r="AB11" s="202">
        <v>1</v>
      </c>
      <c r="AC11" s="200" t="s">
        <v>213</v>
      </c>
      <c r="AD11" s="205"/>
      <c r="AE11" s="206">
        <v>1</v>
      </c>
      <c r="AF11" s="214">
        <v>0</v>
      </c>
      <c r="AG11" s="221"/>
      <c r="AH11" s="222"/>
      <c r="AI11" s="222"/>
      <c r="AJ11" s="222"/>
      <c r="AK11" s="222"/>
      <c r="AL11" s="222"/>
      <c r="AM11" s="222"/>
      <c r="AN11" s="222"/>
      <c r="AO11" s="222"/>
      <c r="AP11" s="222"/>
      <c r="AQ11" s="222"/>
      <c r="AR11" s="222"/>
      <c r="AS11" s="222" t="str">
        <f>"  " &amp; TEXT(AF11,"#0.00%") &amp; " " &amp; "중간보고" &amp; "(오주석)" &amp; " " &amp; IF(Q11="","",TEXT(Q11,"M/D-")) &amp; IF(R11="","",TEXT(R11,"M/D")) &amp; " "</f>
        <v xml:space="preserve">  0.00% 중간보고(오주석) 12/20-12/30 </v>
      </c>
      <c r="AT11" s="222"/>
      <c r="AU11" s="222"/>
      <c r="AV11" s="222"/>
      <c r="AW11" s="222"/>
      <c r="AX11" s="222"/>
      <c r="AY11" s="222"/>
      <c r="AZ11" s="222"/>
      <c r="BA11" s="222"/>
      <c r="BB11" s="222"/>
      <c r="BC11" s="222"/>
    </row>
    <row r="12" spans="1:186" ht="12.75" customHeight="1" outlineLevel="1">
      <c r="A12" s="199"/>
      <c r="B12" s="199" t="s">
        <v>210</v>
      </c>
      <c r="C12" s="199">
        <v>2</v>
      </c>
      <c r="D12" s="208" t="s">
        <v>227</v>
      </c>
      <c r="E12" s="200"/>
      <c r="F12" s="200" t="s">
        <v>228</v>
      </c>
      <c r="G12" s="200"/>
      <c r="H12" s="200"/>
      <c r="I12" s="200"/>
      <c r="J12" s="200"/>
      <c r="K12" s="200"/>
      <c r="L12" s="200"/>
      <c r="M12" s="200"/>
      <c r="N12" s="200"/>
      <c r="O12" s="218"/>
      <c r="P12" s="200"/>
      <c r="Q12" s="201">
        <v>44970</v>
      </c>
      <c r="R12" s="201">
        <v>44981</v>
      </c>
      <c r="S12" s="200"/>
      <c r="T12" s="202">
        <v>10</v>
      </c>
      <c r="U12" s="202">
        <v>4</v>
      </c>
      <c r="V12" s="202">
        <v>10</v>
      </c>
      <c r="W12" s="202">
        <v>4</v>
      </c>
      <c r="X12" s="201"/>
      <c r="Y12" s="201"/>
      <c r="Z12" s="203">
        <v>0</v>
      </c>
      <c r="AA12" s="204">
        <v>0</v>
      </c>
      <c r="AB12" s="202"/>
      <c r="AC12" s="200" t="s">
        <v>213</v>
      </c>
      <c r="AD12" s="205"/>
      <c r="AE12" s="206">
        <v>0.4</v>
      </c>
      <c r="AF12" s="215">
        <v>0</v>
      </c>
      <c r="AG12" s="221"/>
      <c r="AH12" s="222"/>
      <c r="AI12" s="222"/>
      <c r="AJ12" s="222"/>
      <c r="AK12" s="222"/>
      <c r="AL12" s="222"/>
      <c r="AM12" s="222"/>
      <c r="AN12" s="222"/>
      <c r="AO12" s="222"/>
      <c r="AP12" s="222"/>
      <c r="AQ12" s="222"/>
      <c r="AR12" s="222"/>
      <c r="AS12" s="222"/>
      <c r="AT12" s="222"/>
      <c r="AU12" s="222"/>
      <c r="AV12" s="222"/>
      <c r="AW12" s="222"/>
      <c r="AX12" s="222"/>
      <c r="AY12" s="222"/>
      <c r="AZ12" s="222"/>
      <c r="BA12" s="222" t="str">
        <f>" " &amp; TEXT(AF12,"#0.00%") &amp; " " &amp; "프로젝트 종료" &amp; "(오주석)" &amp; " " &amp; IF(Q12="","",TEXT(Q12,"M/D-")) &amp; IF(R12="","",TEXT(R12,"M/D")) &amp; " "</f>
        <v xml:space="preserve"> 0.00% 프로젝트 종료(오주석) 2/13-2/24 </v>
      </c>
      <c r="BB12" s="222"/>
      <c r="BC12" s="222"/>
    </row>
    <row r="13" spans="1:186" ht="12.75" customHeight="1" outlineLevel="2">
      <c r="A13" s="199"/>
      <c r="B13" s="199"/>
      <c r="C13" s="199">
        <v>3</v>
      </c>
      <c r="D13" s="208" t="s">
        <v>229</v>
      </c>
      <c r="E13" s="200"/>
      <c r="F13" s="200"/>
      <c r="G13" s="200" t="s">
        <v>230</v>
      </c>
      <c r="H13" s="200"/>
      <c r="I13" s="200"/>
      <c r="J13" s="200"/>
      <c r="K13" s="200"/>
      <c r="L13" s="200"/>
      <c r="M13" s="200"/>
      <c r="N13" s="200"/>
      <c r="O13" s="218"/>
      <c r="P13" s="200"/>
      <c r="Q13" s="201">
        <v>44970</v>
      </c>
      <c r="R13" s="201">
        <v>44974</v>
      </c>
      <c r="S13" s="200"/>
      <c r="T13" s="202">
        <v>5</v>
      </c>
      <c r="U13" s="202">
        <v>4</v>
      </c>
      <c r="V13" s="202">
        <v>5</v>
      </c>
      <c r="W13" s="202">
        <v>4</v>
      </c>
      <c r="X13" s="201"/>
      <c r="Y13" s="201"/>
      <c r="Z13" s="203"/>
      <c r="AA13" s="204">
        <v>0</v>
      </c>
      <c r="AB13" s="202">
        <v>1</v>
      </c>
      <c r="AC13" s="200" t="s">
        <v>213</v>
      </c>
      <c r="AD13" s="205" t="s">
        <v>231</v>
      </c>
      <c r="AE13" s="206">
        <v>0.8</v>
      </c>
      <c r="AF13" s="214">
        <v>0</v>
      </c>
      <c r="AG13" s="221"/>
      <c r="AH13" s="222"/>
      <c r="AI13" s="222"/>
      <c r="AJ13" s="222"/>
      <c r="AK13" s="222"/>
      <c r="AL13" s="222"/>
      <c r="AM13" s="222"/>
      <c r="AN13" s="222"/>
      <c r="AO13" s="222"/>
      <c r="AP13" s="222"/>
      <c r="AQ13" s="222"/>
      <c r="AR13" s="222"/>
      <c r="AS13" s="222"/>
      <c r="AT13" s="222"/>
      <c r="AU13" s="222"/>
      <c r="AV13" s="222"/>
      <c r="AW13" s="222"/>
      <c r="AX13" s="222"/>
      <c r="AY13" s="222"/>
      <c r="AZ13" s="222"/>
      <c r="BA13" s="222" t="str">
        <f>" " &amp; TEXT(AF13,"#0.00%") &amp; " " &amp; "종료보고작성" &amp; "(오주석)" &amp; " " &amp; IF(Q13="","",TEXT(Q13,"M/D-")) &amp; IF(R13="","",TEXT(R13,"M/D")) &amp; " "</f>
        <v xml:space="preserve"> 0.00% 종료보고작성(오주석) 2/13-2/17 </v>
      </c>
      <c r="BB13" s="222"/>
      <c r="BC13" s="222"/>
    </row>
    <row r="14" spans="1:186" ht="12.75" customHeight="1" outlineLevel="2">
      <c r="A14" s="199"/>
      <c r="B14" s="199"/>
      <c r="C14" s="199">
        <v>3</v>
      </c>
      <c r="D14" s="208" t="s">
        <v>232</v>
      </c>
      <c r="E14" s="200"/>
      <c r="F14" s="200"/>
      <c r="G14" s="200" t="s">
        <v>233</v>
      </c>
      <c r="H14" s="200"/>
      <c r="I14" s="200"/>
      <c r="J14" s="200"/>
      <c r="K14" s="200"/>
      <c r="L14" s="200"/>
      <c r="M14" s="200"/>
      <c r="N14" s="200"/>
      <c r="O14" s="218"/>
      <c r="P14" s="200"/>
      <c r="Q14" s="201">
        <v>44977</v>
      </c>
      <c r="R14" s="201">
        <v>44981</v>
      </c>
      <c r="S14" s="200"/>
      <c r="T14" s="202">
        <v>5</v>
      </c>
      <c r="U14" s="202">
        <v>0</v>
      </c>
      <c r="V14" s="202">
        <v>5</v>
      </c>
      <c r="W14" s="202">
        <v>0</v>
      </c>
      <c r="X14" s="201"/>
      <c r="Y14" s="201"/>
      <c r="Z14" s="203"/>
      <c r="AA14" s="204">
        <v>0</v>
      </c>
      <c r="AB14" s="202">
        <v>1</v>
      </c>
      <c r="AC14" s="200" t="s">
        <v>213</v>
      </c>
      <c r="AD14" s="205"/>
      <c r="AE14" s="206">
        <v>0</v>
      </c>
      <c r="AF14" s="207">
        <v>0</v>
      </c>
      <c r="AG14" s="221"/>
      <c r="AH14" s="222"/>
      <c r="AI14" s="222"/>
      <c r="AJ14" s="222"/>
      <c r="AK14" s="222"/>
      <c r="AL14" s="222"/>
      <c r="AM14" s="222"/>
      <c r="AN14" s="222"/>
      <c r="AO14" s="222"/>
      <c r="AP14" s="222"/>
      <c r="AQ14" s="222"/>
      <c r="AR14" s="222"/>
      <c r="AS14" s="222"/>
      <c r="AT14" s="222"/>
      <c r="AU14" s="222"/>
      <c r="AV14" s="222"/>
      <c r="AW14" s="222"/>
      <c r="AX14" s="222"/>
      <c r="AY14" s="222"/>
      <c r="AZ14" s="222"/>
      <c r="BA14" s="222"/>
      <c r="BB14" s="222" t="str">
        <f>" " &amp; TEXT(AF14,"#0.00%") &amp; " " &amp; "종료보고" &amp; "(오주석)" &amp; " " &amp; IF(Q14="","",TEXT(Q14,"M/D-")) &amp; IF(R14="","",TEXT(R14,"M/D")) &amp; " "</f>
        <v xml:space="preserve"> 0.00% 종료보고(오주석) 2/20-2/24 </v>
      </c>
      <c r="BC14" s="222"/>
    </row>
    <row r="15" spans="1:186" ht="12.75" customHeight="1">
      <c r="A15" s="199"/>
      <c r="B15" s="199" t="s">
        <v>210</v>
      </c>
      <c r="C15" s="199">
        <v>1</v>
      </c>
      <c r="D15" s="208" t="s">
        <v>234</v>
      </c>
      <c r="E15" s="200" t="s">
        <v>235</v>
      </c>
      <c r="F15" s="200"/>
      <c r="G15" s="200"/>
      <c r="H15" s="200"/>
      <c r="I15" s="200"/>
      <c r="J15" s="200"/>
      <c r="K15" s="200"/>
      <c r="L15" s="200"/>
      <c r="M15" s="200"/>
      <c r="N15" s="200"/>
      <c r="O15" s="218"/>
      <c r="P15" s="200"/>
      <c r="Q15" s="201">
        <v>44830</v>
      </c>
      <c r="R15" s="201">
        <v>44876</v>
      </c>
      <c r="S15" s="200"/>
      <c r="T15" s="202">
        <v>63</v>
      </c>
      <c r="U15" s="202">
        <v>63</v>
      </c>
      <c r="V15" s="202">
        <v>33</v>
      </c>
      <c r="W15" s="202">
        <v>33</v>
      </c>
      <c r="X15" s="201"/>
      <c r="Y15" s="201"/>
      <c r="Z15" s="203">
        <v>0</v>
      </c>
      <c r="AA15" s="204">
        <v>0</v>
      </c>
      <c r="AB15" s="202"/>
      <c r="AC15" s="200" t="s">
        <v>236</v>
      </c>
      <c r="AD15" s="205"/>
      <c r="AE15" s="206">
        <v>1</v>
      </c>
      <c r="AF15" s="215">
        <v>0</v>
      </c>
      <c r="AG15" s="221" t="str">
        <f>" " &amp; TEXT(AF15,"#0.00%") &amp; " "</f>
        <v xml:space="preserve"> 0.00% </v>
      </c>
      <c r="AH15" s="222"/>
      <c r="AI15" s="222"/>
      <c r="AJ15" s="222"/>
      <c r="AK15" s="222"/>
      <c r="AL15" s="222"/>
      <c r="AM15" s="222" t="str">
        <f>"      " &amp; "현황분석" &amp; "(오재철, 한정은, 최유민, 이주언)" &amp; " " &amp; IF(Q15="","",TEXT(Q15,"M/D-")) &amp; IF(R15="","",TEXT(R15,"M/D")) &amp; " "</f>
        <v xml:space="preserve">      현황분석(오재철, 한정은, 최유민, 이주언) 9/26-11/11 </v>
      </c>
      <c r="AN15" s="222"/>
      <c r="AO15" s="222"/>
      <c r="AP15" s="222"/>
      <c r="AQ15" s="222"/>
      <c r="AR15" s="222"/>
      <c r="AS15" s="222"/>
      <c r="AT15" s="222"/>
      <c r="AU15" s="222"/>
      <c r="AV15" s="222"/>
      <c r="AW15" s="222"/>
      <c r="AX15" s="222"/>
      <c r="AY15" s="222"/>
      <c r="AZ15" s="222"/>
      <c r="BA15" s="222"/>
      <c r="BB15" s="222"/>
      <c r="BC15" s="222"/>
    </row>
    <row r="16" spans="1:186" ht="12.75" customHeight="1" outlineLevel="1">
      <c r="A16" s="199"/>
      <c r="B16" s="199" t="s">
        <v>210</v>
      </c>
      <c r="C16" s="199">
        <v>2</v>
      </c>
      <c r="D16" s="208" t="s">
        <v>237</v>
      </c>
      <c r="E16" s="200"/>
      <c r="F16" s="200" t="s">
        <v>238</v>
      </c>
      <c r="G16" s="200"/>
      <c r="H16" s="200"/>
      <c r="I16" s="200"/>
      <c r="J16" s="200"/>
      <c r="K16" s="200"/>
      <c r="L16" s="200"/>
      <c r="M16" s="200"/>
      <c r="N16" s="200"/>
      <c r="O16" s="218"/>
      <c r="P16" s="200"/>
      <c r="Q16" s="201">
        <v>44830</v>
      </c>
      <c r="R16" s="201">
        <v>44848</v>
      </c>
      <c r="S16" s="200"/>
      <c r="T16" s="202">
        <v>22</v>
      </c>
      <c r="U16" s="202">
        <v>22</v>
      </c>
      <c r="V16" s="202">
        <v>13</v>
      </c>
      <c r="W16" s="202">
        <v>13</v>
      </c>
      <c r="X16" s="201"/>
      <c r="Y16" s="201"/>
      <c r="Z16" s="203">
        <v>0</v>
      </c>
      <c r="AA16" s="204">
        <v>0</v>
      </c>
      <c r="AB16" s="202"/>
      <c r="AC16" s="200" t="s">
        <v>239</v>
      </c>
      <c r="AD16" s="205"/>
      <c r="AE16" s="206">
        <v>1</v>
      </c>
      <c r="AF16" s="215">
        <v>0</v>
      </c>
      <c r="AG16" s="221" t="str">
        <f>" " &amp; TEXT(AF16,"#0.00%") &amp; " " &amp; "환경조사 및 자료수집" &amp; "(오재철, 오주석, 한정은, 최유민, 이주언)" &amp; " " &amp; IF(Q16="","",TEXT(Q16,"M/D-")) &amp; IF(R16="","",TEXT(R16,"M/D")) &amp; " "</f>
        <v xml:space="preserve"> 0.00% 환경조사 및 자료수집(오재철, 오주석, 한정은, 최유민, 이주언) 9/26-10/14 </v>
      </c>
      <c r="AH16" s="222"/>
      <c r="AI16" s="222"/>
      <c r="AJ16" s="222"/>
      <c r="AK16" s="222"/>
      <c r="AL16" s="222"/>
      <c r="AM16" s="222"/>
      <c r="AN16" s="222"/>
      <c r="AO16" s="222"/>
      <c r="AP16" s="222"/>
      <c r="AQ16" s="222"/>
      <c r="AR16" s="222"/>
      <c r="AS16" s="222"/>
      <c r="AT16" s="222"/>
      <c r="AU16" s="222"/>
      <c r="AV16" s="222"/>
      <c r="AW16" s="222"/>
      <c r="AX16" s="222"/>
      <c r="AY16" s="222"/>
      <c r="AZ16" s="222"/>
      <c r="BA16" s="222"/>
      <c r="BB16" s="222"/>
      <c r="BC16" s="222"/>
    </row>
    <row r="17" spans="1:55" ht="12.75" customHeight="1" outlineLevel="2">
      <c r="A17" s="199"/>
      <c r="B17" s="199"/>
      <c r="C17" s="199">
        <v>3</v>
      </c>
      <c r="D17" s="208" t="s">
        <v>240</v>
      </c>
      <c r="E17" s="200"/>
      <c r="F17" s="200"/>
      <c r="G17" s="200" t="s">
        <v>241</v>
      </c>
      <c r="H17" s="147"/>
      <c r="I17" s="200"/>
      <c r="J17" s="200"/>
      <c r="K17" s="200"/>
      <c r="L17" s="200"/>
      <c r="M17" s="200"/>
      <c r="N17" s="200"/>
      <c r="O17" s="218"/>
      <c r="P17" s="200"/>
      <c r="Q17" s="201">
        <v>44830</v>
      </c>
      <c r="R17" s="201">
        <v>44834</v>
      </c>
      <c r="S17" s="200"/>
      <c r="T17" s="202">
        <v>5</v>
      </c>
      <c r="U17" s="202">
        <v>5</v>
      </c>
      <c r="V17" s="202">
        <v>5</v>
      </c>
      <c r="W17" s="202">
        <v>5</v>
      </c>
      <c r="X17" s="201">
        <v>44830</v>
      </c>
      <c r="Y17" s="201">
        <v>44834</v>
      </c>
      <c r="Z17" s="203">
        <v>5</v>
      </c>
      <c r="AA17" s="204">
        <v>5</v>
      </c>
      <c r="AB17" s="202">
        <v>1</v>
      </c>
      <c r="AC17" s="200" t="s">
        <v>242</v>
      </c>
      <c r="AD17" s="205" t="s">
        <v>243</v>
      </c>
      <c r="AE17" s="206">
        <v>1</v>
      </c>
      <c r="AF17" s="214">
        <v>0</v>
      </c>
      <c r="AG17" s="221" t="str">
        <f>" " &amp; TEXT(AF17,"#0.00%") &amp; " " &amp; "수집자료 목록 작성 및 요청" &amp; "(한정은, 최유민)" &amp; " " &amp; IF(Q17="","",TEXT(Q17,"M/D-")) &amp; IF(R17="","",TEXT(R17,"M/D")) &amp; " "</f>
        <v xml:space="preserve"> 0.00% 수집자료 목록 작성 및 요청(한정은, 최유민) 9/26-9/30 </v>
      </c>
      <c r="AH17" s="222"/>
      <c r="AI17" s="222"/>
      <c r="AJ17" s="222"/>
      <c r="AK17" s="222"/>
      <c r="AL17" s="222"/>
      <c r="AM17" s="222"/>
      <c r="AN17" s="222"/>
      <c r="AO17" s="222"/>
      <c r="AP17" s="222"/>
      <c r="AQ17" s="222"/>
      <c r="AR17" s="222"/>
      <c r="AS17" s="222"/>
      <c r="AT17" s="222"/>
      <c r="AU17" s="222"/>
      <c r="AV17" s="222"/>
      <c r="AW17" s="222"/>
      <c r="AX17" s="222"/>
      <c r="AY17" s="222"/>
      <c r="AZ17" s="222"/>
      <c r="BA17" s="222"/>
      <c r="BB17" s="222"/>
      <c r="BC17" s="222"/>
    </row>
    <row r="18" spans="1:55" ht="12.75" customHeight="1" outlineLevel="2">
      <c r="A18" s="199"/>
      <c r="B18" s="199"/>
      <c r="C18" s="199">
        <v>3</v>
      </c>
      <c r="D18" s="208" t="s">
        <v>244</v>
      </c>
      <c r="E18" s="200"/>
      <c r="F18" s="200"/>
      <c r="G18" s="200" t="s">
        <v>245</v>
      </c>
      <c r="H18" s="147"/>
      <c r="I18" s="200"/>
      <c r="J18" s="200"/>
      <c r="K18" s="200"/>
      <c r="L18" s="200"/>
      <c r="M18" s="200"/>
      <c r="N18" s="200"/>
      <c r="O18" s="218"/>
      <c r="P18" s="200" t="s">
        <v>246</v>
      </c>
      <c r="Q18" s="201">
        <v>44832</v>
      </c>
      <c r="R18" s="201">
        <v>44846</v>
      </c>
      <c r="S18" s="200"/>
      <c r="T18" s="202">
        <v>9</v>
      </c>
      <c r="U18" s="202">
        <v>9</v>
      </c>
      <c r="V18" s="202">
        <v>9</v>
      </c>
      <c r="W18" s="202">
        <v>9</v>
      </c>
      <c r="X18" s="201">
        <v>44832</v>
      </c>
      <c r="Y18" s="201">
        <v>44848</v>
      </c>
      <c r="Z18" s="203">
        <v>11</v>
      </c>
      <c r="AA18" s="204">
        <v>11</v>
      </c>
      <c r="AB18" s="202">
        <v>1</v>
      </c>
      <c r="AC18" s="200" t="s">
        <v>247</v>
      </c>
      <c r="AD18" s="205" t="s">
        <v>248</v>
      </c>
      <c r="AE18" s="206">
        <v>1</v>
      </c>
      <c r="AF18" s="214">
        <v>0</v>
      </c>
      <c r="AG18" s="221" t="str">
        <f>"   " &amp; TEXT(AF18,"#0.00%") &amp; " " &amp; "수집자료 목록 접수 및 수집" &amp; "(데이터거버넌스팀)" &amp; " " &amp; IF(Q18="","",TEXT(Q18,"M/D-")) &amp; IF(R18="","",TEXT(R18,"M/D")) &amp; " "</f>
        <v xml:space="preserve">   0.00% 수집자료 목록 접수 및 수집(데이터거버넌스팀) 9/28-10/12 </v>
      </c>
      <c r="AH18" s="222"/>
      <c r="AI18" s="222"/>
      <c r="AJ18" s="222"/>
      <c r="AK18" s="222"/>
      <c r="AL18" s="222"/>
      <c r="AM18" s="222"/>
      <c r="AN18" s="222"/>
      <c r="AO18" s="222"/>
      <c r="AP18" s="222"/>
      <c r="AQ18" s="222"/>
      <c r="AR18" s="222"/>
      <c r="AS18" s="222"/>
      <c r="AT18" s="222"/>
      <c r="AU18" s="222"/>
      <c r="AV18" s="222"/>
      <c r="AW18" s="222"/>
      <c r="AX18" s="222"/>
      <c r="AY18" s="222"/>
      <c r="AZ18" s="222"/>
      <c r="BA18" s="222"/>
      <c r="BB18" s="222"/>
      <c r="BC18" s="222"/>
    </row>
    <row r="19" spans="1:55" ht="12.75" customHeight="1" outlineLevel="2">
      <c r="A19" s="199"/>
      <c r="B19" s="199"/>
      <c r="C19" s="199">
        <v>3</v>
      </c>
      <c r="D19" s="208" t="s">
        <v>249</v>
      </c>
      <c r="E19" s="200"/>
      <c r="F19" s="200"/>
      <c r="G19" s="200" t="s">
        <v>250</v>
      </c>
      <c r="H19" s="147"/>
      <c r="I19" s="200"/>
      <c r="J19" s="200"/>
      <c r="K19" s="200"/>
      <c r="L19" s="200"/>
      <c r="M19" s="200"/>
      <c r="N19" s="200"/>
      <c r="O19" s="218"/>
      <c r="P19" s="200"/>
      <c r="Q19" s="201">
        <v>44838</v>
      </c>
      <c r="R19" s="201">
        <v>44848</v>
      </c>
      <c r="S19" s="200"/>
      <c r="T19" s="202">
        <v>8</v>
      </c>
      <c r="U19" s="202">
        <v>8</v>
      </c>
      <c r="V19" s="202">
        <v>8</v>
      </c>
      <c r="W19" s="202">
        <v>8</v>
      </c>
      <c r="X19" s="201">
        <v>44838</v>
      </c>
      <c r="Y19" s="201">
        <v>44848</v>
      </c>
      <c r="Z19" s="203">
        <v>8</v>
      </c>
      <c r="AA19" s="204">
        <v>8</v>
      </c>
      <c r="AB19" s="202">
        <v>1</v>
      </c>
      <c r="AC19" s="200" t="s">
        <v>251</v>
      </c>
      <c r="AD19" s="205"/>
      <c r="AE19" s="206">
        <v>1</v>
      </c>
      <c r="AF19" s="214">
        <v>0</v>
      </c>
      <c r="AG19" s="221"/>
      <c r="AH19" s="222" t="str">
        <f>"  " &amp; TEXT(AF19,"#0.00%") &amp; " " &amp; "수집자료 검토" &amp; "(오재철, 한정은, 최유민)" &amp; " " &amp; IF(Q19="","",TEXT(Q19,"M/D-")) &amp; IF(R19="","",TEXT(R19,"M/D")) &amp; " "</f>
        <v xml:space="preserve">  0.00% 수집자료 검토(오재철, 한정은, 최유민) 10/4-10/14 </v>
      </c>
      <c r="AI19" s="222"/>
      <c r="AJ19" s="222"/>
      <c r="AK19" s="222"/>
      <c r="AL19" s="222"/>
      <c r="AM19" s="222"/>
      <c r="AN19" s="222"/>
      <c r="AO19" s="222"/>
      <c r="AP19" s="222"/>
      <c r="AQ19" s="222"/>
      <c r="AR19" s="222"/>
      <c r="AS19" s="222"/>
      <c r="AT19" s="222"/>
      <c r="AU19" s="222"/>
      <c r="AV19" s="222"/>
      <c r="AW19" s="222"/>
      <c r="AX19" s="222"/>
      <c r="AY19" s="222"/>
      <c r="AZ19" s="222"/>
      <c r="BA19" s="222"/>
      <c r="BB19" s="222"/>
      <c r="BC19" s="222"/>
    </row>
    <row r="20" spans="1:55" ht="12.75" customHeight="1" outlineLevel="1">
      <c r="A20" s="199"/>
      <c r="B20" s="199" t="s">
        <v>210</v>
      </c>
      <c r="C20" s="199">
        <v>2</v>
      </c>
      <c r="D20" s="208" t="s">
        <v>252</v>
      </c>
      <c r="E20" s="200"/>
      <c r="F20" s="200" t="s">
        <v>253</v>
      </c>
      <c r="G20" s="200"/>
      <c r="H20" s="147"/>
      <c r="I20" s="200"/>
      <c r="J20" s="200"/>
      <c r="K20" s="200"/>
      <c r="L20" s="200"/>
      <c r="M20" s="200"/>
      <c r="N20" s="200"/>
      <c r="O20" s="218"/>
      <c r="P20" s="200"/>
      <c r="Q20" s="201">
        <v>44832</v>
      </c>
      <c r="R20" s="201">
        <v>44869</v>
      </c>
      <c r="S20" s="200"/>
      <c r="T20" s="202">
        <v>26</v>
      </c>
      <c r="U20" s="202">
        <v>26</v>
      </c>
      <c r="V20" s="202">
        <v>26</v>
      </c>
      <c r="W20" s="202">
        <v>26</v>
      </c>
      <c r="X20" s="201"/>
      <c r="Y20" s="201"/>
      <c r="Z20" s="203">
        <v>0</v>
      </c>
      <c r="AA20" s="204">
        <v>0</v>
      </c>
      <c r="AB20" s="202"/>
      <c r="AC20" s="200" t="s">
        <v>254</v>
      </c>
      <c r="AD20" s="205"/>
      <c r="AE20" s="206">
        <v>1</v>
      </c>
      <c r="AF20" s="215">
        <v>0</v>
      </c>
      <c r="AG20" s="221" t="str">
        <f>"   " &amp; TEXT(AF20,"#0.00%") &amp; " "</f>
        <v xml:space="preserve">   0.00% </v>
      </c>
      <c r="AH20" s="222"/>
      <c r="AI20" s="222"/>
      <c r="AJ20" s="222"/>
      <c r="AK20" s="222"/>
      <c r="AL20" s="222" t="str">
        <f>"      " &amp; "인터뷰" &amp; "(데이터거버넌스팀, 한정은, 최유민)" &amp; " " &amp; IF(Q20="","",TEXT(Q20,"M/D-")) &amp; IF(R20="","",TEXT(R20,"M/D")) &amp; " "</f>
        <v xml:space="preserve">      인터뷰(데이터거버넌스팀, 한정은, 최유민) 9/28-11/4 </v>
      </c>
      <c r="AM20" s="222"/>
      <c r="AN20" s="222"/>
      <c r="AO20" s="222"/>
      <c r="AP20" s="222"/>
      <c r="AQ20" s="222"/>
      <c r="AR20" s="222"/>
      <c r="AS20" s="222"/>
      <c r="AT20" s="222"/>
      <c r="AU20" s="222"/>
      <c r="AV20" s="222"/>
      <c r="AW20" s="222"/>
      <c r="AX20" s="222"/>
      <c r="AY20" s="222"/>
      <c r="AZ20" s="222"/>
      <c r="BA20" s="222"/>
      <c r="BB20" s="222"/>
      <c r="BC20" s="222"/>
    </row>
    <row r="21" spans="1:55" ht="12.75" customHeight="1" outlineLevel="2">
      <c r="A21" s="199"/>
      <c r="B21" s="199"/>
      <c r="C21" s="199">
        <v>3</v>
      </c>
      <c r="D21" s="208" t="s">
        <v>255</v>
      </c>
      <c r="E21" s="200"/>
      <c r="F21" s="200"/>
      <c r="G21" s="200" t="s">
        <v>256</v>
      </c>
      <c r="H21" s="147"/>
      <c r="I21" s="200"/>
      <c r="J21" s="200"/>
      <c r="K21" s="200"/>
      <c r="L21" s="200"/>
      <c r="M21" s="200"/>
      <c r="N21" s="200"/>
      <c r="O21" s="218"/>
      <c r="P21" s="200"/>
      <c r="Q21" s="201">
        <v>44832</v>
      </c>
      <c r="R21" s="201">
        <v>44839</v>
      </c>
      <c r="S21" s="200"/>
      <c r="T21" s="202">
        <v>5</v>
      </c>
      <c r="U21" s="202">
        <v>5</v>
      </c>
      <c r="V21" s="202">
        <v>5</v>
      </c>
      <c r="W21" s="202">
        <v>5</v>
      </c>
      <c r="X21" s="201">
        <v>44832</v>
      </c>
      <c r="Y21" s="201">
        <v>44839</v>
      </c>
      <c r="Z21" s="203">
        <v>5</v>
      </c>
      <c r="AA21" s="204">
        <v>5</v>
      </c>
      <c r="AB21" s="202">
        <v>1</v>
      </c>
      <c r="AC21" s="200" t="s">
        <v>242</v>
      </c>
      <c r="AD21" s="205" t="s">
        <v>257</v>
      </c>
      <c r="AE21" s="206">
        <v>1</v>
      </c>
      <c r="AF21" s="214">
        <v>0</v>
      </c>
      <c r="AG21" s="221" t="str">
        <f>"   " &amp; TEXT(AF21,"#0.00%") &amp; " " &amp; "인터뷰 계획서/질의서 작성" &amp; "(한정은, 최유민)" &amp; " " &amp; IF(Q21="","",TEXT(Q21,"M/D-")) &amp; IF(R21="","",TEXT(R21,"M/D")) &amp; " "</f>
        <v xml:space="preserve">   0.00% 인터뷰 계획서/질의서 작성(한정은, 최유민) 9/28-10/5 </v>
      </c>
      <c r="AH21" s="222"/>
      <c r="AI21" s="222"/>
      <c r="AJ21" s="222"/>
      <c r="AK21" s="222"/>
      <c r="AL21" s="222"/>
      <c r="AM21" s="222"/>
      <c r="AN21" s="222"/>
      <c r="AO21" s="222"/>
      <c r="AP21" s="222"/>
      <c r="AQ21" s="222"/>
      <c r="AR21" s="222"/>
      <c r="AS21" s="222"/>
      <c r="AT21" s="222"/>
      <c r="AU21" s="222"/>
      <c r="AV21" s="222"/>
      <c r="AW21" s="222"/>
      <c r="AX21" s="222"/>
      <c r="AY21" s="222"/>
      <c r="AZ21" s="222"/>
      <c r="BA21" s="222"/>
      <c r="BB21" s="222"/>
      <c r="BC21" s="222"/>
    </row>
    <row r="22" spans="1:55" ht="12.75" customHeight="1" outlineLevel="2">
      <c r="A22" s="199"/>
      <c r="B22" s="199"/>
      <c r="C22" s="199">
        <v>3</v>
      </c>
      <c r="D22" s="208" t="s">
        <v>258</v>
      </c>
      <c r="E22" s="200"/>
      <c r="F22" s="200"/>
      <c r="G22" s="200" t="s">
        <v>259</v>
      </c>
      <c r="H22" s="147"/>
      <c r="I22" s="200"/>
      <c r="J22" s="200"/>
      <c r="K22" s="200"/>
      <c r="L22" s="200"/>
      <c r="M22" s="200"/>
      <c r="N22" s="200"/>
      <c r="O22" s="218"/>
      <c r="P22" s="200" t="s">
        <v>260</v>
      </c>
      <c r="Q22" s="201">
        <v>44840</v>
      </c>
      <c r="R22" s="201">
        <v>44848</v>
      </c>
      <c r="S22" s="200"/>
      <c r="T22" s="202">
        <v>6</v>
      </c>
      <c r="U22" s="202">
        <v>6</v>
      </c>
      <c r="V22" s="202">
        <v>6</v>
      </c>
      <c r="W22" s="202">
        <v>6</v>
      </c>
      <c r="X22" s="201">
        <v>44840</v>
      </c>
      <c r="Y22" s="201">
        <v>44848</v>
      </c>
      <c r="Z22" s="203">
        <v>6</v>
      </c>
      <c r="AA22" s="204">
        <v>6</v>
      </c>
      <c r="AB22" s="202">
        <v>1</v>
      </c>
      <c r="AC22" s="200" t="s">
        <v>247</v>
      </c>
      <c r="AD22" s="205"/>
      <c r="AE22" s="206">
        <v>1</v>
      </c>
      <c r="AF22" s="214">
        <v>0</v>
      </c>
      <c r="AG22" s="221"/>
      <c r="AH22" s="222" t="str">
        <f>"    " &amp; TEXT(AF22,"#0.00%") &amp; " " &amp; "인터뷰 계획서/질의서 검토/일정조율" &amp; "(데이터거버넌스팀)" &amp; " " &amp; IF(Q22="","",TEXT(Q22,"M/D-")) &amp; IF(R22="","",TEXT(R22,"M/D")) &amp; " "</f>
        <v xml:space="preserve">    0.00% 인터뷰 계획서/질의서 검토/일정조율(데이터거버넌스팀) 10/6-10/14 </v>
      </c>
      <c r="AI22" s="222"/>
      <c r="AJ22" s="222"/>
      <c r="AK22" s="222"/>
      <c r="AL22" s="222"/>
      <c r="AM22" s="222"/>
      <c r="AN22" s="222"/>
      <c r="AO22" s="222"/>
      <c r="AP22" s="222"/>
      <c r="AQ22" s="222"/>
      <c r="AR22" s="222"/>
      <c r="AS22" s="222"/>
      <c r="AT22" s="222"/>
      <c r="AU22" s="222"/>
      <c r="AV22" s="222"/>
      <c r="AW22" s="222"/>
      <c r="AX22" s="222"/>
      <c r="AY22" s="222"/>
      <c r="AZ22" s="222"/>
      <c r="BA22" s="222"/>
      <c r="BB22" s="222"/>
      <c r="BC22" s="222"/>
    </row>
    <row r="23" spans="1:55" ht="12.75" customHeight="1" outlineLevel="2">
      <c r="A23" s="199"/>
      <c r="B23" s="199"/>
      <c r="C23" s="199">
        <v>3</v>
      </c>
      <c r="D23" s="208" t="s">
        <v>261</v>
      </c>
      <c r="E23" s="200"/>
      <c r="F23" s="200"/>
      <c r="G23" s="200" t="s">
        <v>262</v>
      </c>
      <c r="H23" s="147"/>
      <c r="I23" s="200"/>
      <c r="J23" s="200"/>
      <c r="K23" s="200"/>
      <c r="L23" s="200"/>
      <c r="M23" s="200"/>
      <c r="N23" s="200"/>
      <c r="O23" s="218"/>
      <c r="P23" s="200"/>
      <c r="Q23" s="201">
        <v>44851</v>
      </c>
      <c r="R23" s="201">
        <v>44869</v>
      </c>
      <c r="S23" s="200"/>
      <c r="T23" s="202">
        <v>15</v>
      </c>
      <c r="U23" s="202">
        <v>15</v>
      </c>
      <c r="V23" s="202">
        <v>15</v>
      </c>
      <c r="W23" s="202">
        <v>15</v>
      </c>
      <c r="X23" s="201">
        <v>44851</v>
      </c>
      <c r="Y23" s="201">
        <v>44869</v>
      </c>
      <c r="Z23" s="203">
        <v>15</v>
      </c>
      <c r="AA23" s="204">
        <v>15</v>
      </c>
      <c r="AB23" s="202">
        <v>1</v>
      </c>
      <c r="AC23" s="200" t="s">
        <v>239</v>
      </c>
      <c r="AD23" s="205" t="s">
        <v>263</v>
      </c>
      <c r="AE23" s="206">
        <v>1</v>
      </c>
      <c r="AF23" s="214">
        <v>0</v>
      </c>
      <c r="AG23" s="221"/>
      <c r="AH23" s="222"/>
      <c r="AI23" s="222"/>
      <c r="AJ23" s="222" t="str">
        <f>" " &amp; TEXT(AF23,"#0.00%") &amp; " " &amp; "인터뷰 수행 및 결과서 작성" &amp; "(오재철, 오주석, 한정은, 최유민, 이주언)" &amp; " " &amp; IF(Q23="","",TEXT(Q23,"M/D-")) &amp; IF(R23="","",TEXT(R23,"M/D")) &amp; " "</f>
        <v xml:space="preserve"> 0.00% 인터뷰 수행 및 결과서 작성(오재철, 오주석, 한정은, 최유민, 이주언) 10/17-11/4 </v>
      </c>
      <c r="AK23" s="222"/>
      <c r="AL23" s="222"/>
      <c r="AM23" s="222"/>
      <c r="AN23" s="222"/>
      <c r="AO23" s="222"/>
      <c r="AP23" s="222"/>
      <c r="AQ23" s="222"/>
      <c r="AR23" s="222"/>
      <c r="AS23" s="222"/>
      <c r="AT23" s="222"/>
      <c r="AU23" s="222"/>
      <c r="AV23" s="222"/>
      <c r="AW23" s="222"/>
      <c r="AX23" s="222"/>
      <c r="AY23" s="222"/>
      <c r="AZ23" s="222"/>
      <c r="BA23" s="222"/>
      <c r="BB23" s="222"/>
      <c r="BC23" s="222"/>
    </row>
    <row r="24" spans="1:55" ht="12.75" customHeight="1" outlineLevel="1">
      <c r="A24" s="199"/>
      <c r="B24" s="199" t="s">
        <v>210</v>
      </c>
      <c r="C24" s="199">
        <v>2</v>
      </c>
      <c r="D24" s="208" t="s">
        <v>264</v>
      </c>
      <c r="E24" s="200"/>
      <c r="F24" s="200" t="s">
        <v>265</v>
      </c>
      <c r="G24" s="200"/>
      <c r="H24" s="147"/>
      <c r="I24" s="200"/>
      <c r="J24" s="200"/>
      <c r="K24" s="200"/>
      <c r="L24" s="200"/>
      <c r="M24" s="200"/>
      <c r="N24" s="200"/>
      <c r="O24" s="218"/>
      <c r="P24" s="200"/>
      <c r="Q24" s="201">
        <v>44858</v>
      </c>
      <c r="R24" s="201">
        <v>44876</v>
      </c>
      <c r="S24" s="200"/>
      <c r="T24" s="202">
        <v>15</v>
      </c>
      <c r="U24" s="202">
        <v>15</v>
      </c>
      <c r="V24" s="202">
        <v>15</v>
      </c>
      <c r="W24" s="202">
        <v>15</v>
      </c>
      <c r="X24" s="201"/>
      <c r="Y24" s="201"/>
      <c r="Z24" s="203">
        <v>0</v>
      </c>
      <c r="AA24" s="204">
        <v>0</v>
      </c>
      <c r="AB24" s="202"/>
      <c r="AC24" s="200" t="s">
        <v>266</v>
      </c>
      <c r="AD24" s="205"/>
      <c r="AE24" s="206">
        <v>1</v>
      </c>
      <c r="AF24" s="215">
        <v>0</v>
      </c>
      <c r="AG24" s="221"/>
      <c r="AH24" s="222"/>
      <c r="AI24" s="222"/>
      <c r="AJ24" s="222"/>
      <c r="AK24" s="222" t="str">
        <f>" " &amp; TEXT(AF24,"#0.00%") &amp; " " &amp; "현황분석서 작성" &amp; "(데이터거버넌스팀, 오재철, 한정은, 최유민, 이주언)" &amp; " " &amp; IF(Q24="","",TEXT(Q24,"M/D-")) &amp; IF(R24="","",TEXT(R24,"M/D")) &amp; " "</f>
        <v xml:space="preserve"> 0.00% 현황분석서 작성(데이터거버넌스팀, 오재철, 한정은, 최유민, 이주언) 10/24-11/11 </v>
      </c>
      <c r="AL24" s="222"/>
      <c r="AM24" s="222"/>
      <c r="AN24" s="222"/>
      <c r="AO24" s="222"/>
      <c r="AP24" s="222"/>
      <c r="AQ24" s="222"/>
      <c r="AR24" s="222"/>
      <c r="AS24" s="222"/>
      <c r="AT24" s="222"/>
      <c r="AU24" s="222"/>
      <c r="AV24" s="222"/>
      <c r="AW24" s="222"/>
      <c r="AX24" s="222"/>
      <c r="AY24" s="222"/>
      <c r="AZ24" s="222"/>
      <c r="BA24" s="222"/>
      <c r="BB24" s="222"/>
      <c r="BC24" s="222"/>
    </row>
    <row r="25" spans="1:55" ht="12.75" customHeight="1" outlineLevel="2">
      <c r="A25" s="199"/>
      <c r="B25" s="199"/>
      <c r="C25" s="199">
        <v>3</v>
      </c>
      <c r="D25" s="208" t="s">
        <v>267</v>
      </c>
      <c r="E25" s="200"/>
      <c r="F25" s="200"/>
      <c r="G25" s="200" t="s">
        <v>265</v>
      </c>
      <c r="H25" s="147"/>
      <c r="I25" s="200"/>
      <c r="J25" s="200"/>
      <c r="K25" s="200"/>
      <c r="L25" s="200"/>
      <c r="M25" s="200"/>
      <c r="N25" s="200"/>
      <c r="O25" s="218"/>
      <c r="P25" s="200"/>
      <c r="Q25" s="201">
        <v>44858</v>
      </c>
      <c r="R25" s="201">
        <v>44869</v>
      </c>
      <c r="S25" s="200"/>
      <c r="T25" s="202">
        <v>10</v>
      </c>
      <c r="U25" s="202">
        <v>10</v>
      </c>
      <c r="V25" s="202">
        <v>10</v>
      </c>
      <c r="W25" s="202">
        <v>10</v>
      </c>
      <c r="X25" s="201">
        <v>44858</v>
      </c>
      <c r="Y25" s="201">
        <v>44869</v>
      </c>
      <c r="Z25" s="203">
        <v>10</v>
      </c>
      <c r="AA25" s="204">
        <v>10</v>
      </c>
      <c r="AB25" s="202">
        <v>1</v>
      </c>
      <c r="AC25" s="200" t="s">
        <v>236</v>
      </c>
      <c r="AD25" s="205" t="s">
        <v>268</v>
      </c>
      <c r="AE25" s="206">
        <v>1</v>
      </c>
      <c r="AF25" s="214">
        <v>0</v>
      </c>
      <c r="AG25" s="221"/>
      <c r="AH25" s="222"/>
      <c r="AI25" s="222"/>
      <c r="AJ25" s="222"/>
      <c r="AK25" s="222" t="str">
        <f>" " &amp; TEXT(AF25,"#0.00%") &amp; " " &amp; "현황분석서 작성" &amp; "(오재철, 한정은, 최유민, 이주언)" &amp; " " &amp; IF(Q25="","",TEXT(Q25,"M/D-")) &amp; IF(R25="","",TEXT(R25,"M/D")) &amp; " "</f>
        <v xml:space="preserve"> 0.00% 현황분석서 작성(오재철, 한정은, 최유민, 이주언) 10/24-11/4 </v>
      </c>
      <c r="AL25" s="222"/>
      <c r="AM25" s="222"/>
      <c r="AN25" s="222"/>
      <c r="AO25" s="222"/>
      <c r="AP25" s="222"/>
      <c r="AQ25" s="222"/>
      <c r="AR25" s="222"/>
      <c r="AS25" s="222"/>
      <c r="AT25" s="222"/>
      <c r="AU25" s="222"/>
      <c r="AV25" s="222"/>
      <c r="AW25" s="222"/>
      <c r="AX25" s="222"/>
      <c r="AY25" s="222"/>
      <c r="AZ25" s="222"/>
      <c r="BA25" s="222"/>
      <c r="BB25" s="222"/>
      <c r="BC25" s="222"/>
    </row>
    <row r="26" spans="1:55" ht="12.75" customHeight="1" outlineLevel="2">
      <c r="A26" s="199"/>
      <c r="B26" s="199"/>
      <c r="C26" s="199">
        <v>3</v>
      </c>
      <c r="D26" s="208" t="s">
        <v>269</v>
      </c>
      <c r="E26" s="200"/>
      <c r="F26" s="200"/>
      <c r="G26" s="200" t="s">
        <v>270</v>
      </c>
      <c r="H26" s="147"/>
      <c r="I26" s="200"/>
      <c r="J26" s="200"/>
      <c r="K26" s="200"/>
      <c r="L26" s="200"/>
      <c r="M26" s="200"/>
      <c r="N26" s="200"/>
      <c r="O26" s="218"/>
      <c r="P26" s="200" t="s">
        <v>271</v>
      </c>
      <c r="Q26" s="201">
        <v>44872</v>
      </c>
      <c r="R26" s="201">
        <v>44876</v>
      </c>
      <c r="S26" s="200"/>
      <c r="T26" s="202">
        <v>5</v>
      </c>
      <c r="U26" s="202">
        <v>5</v>
      </c>
      <c r="V26" s="202">
        <v>5</v>
      </c>
      <c r="W26" s="202">
        <v>5</v>
      </c>
      <c r="X26" s="201">
        <v>44872</v>
      </c>
      <c r="Y26" s="201">
        <v>44876</v>
      </c>
      <c r="Z26" s="203">
        <v>5</v>
      </c>
      <c r="AA26" s="204">
        <v>5</v>
      </c>
      <c r="AB26" s="202">
        <v>1</v>
      </c>
      <c r="AC26" s="200" t="s">
        <v>254</v>
      </c>
      <c r="AD26" s="205"/>
      <c r="AE26" s="206">
        <v>1</v>
      </c>
      <c r="AF26" s="214">
        <v>0</v>
      </c>
      <c r="AG26" s="221"/>
      <c r="AH26" s="222"/>
      <c r="AI26" s="222"/>
      <c r="AJ26" s="222"/>
      <c r="AK26" s="222"/>
      <c r="AL26" s="222"/>
      <c r="AM26" s="222" t="str">
        <f>" " &amp; TEXT(AF26,"#0.00%") &amp; " " &amp; "현황분석서 검토 및 보완" &amp; "(데이터거버넌스팀, 한정은, 최유민)" &amp; " " &amp; IF(Q26="","",TEXT(Q26,"M/D-")) &amp; IF(R26="","",TEXT(R26,"M/D")) &amp; " "</f>
        <v xml:space="preserve"> 0.00% 현황분석서 검토 및 보완(데이터거버넌스팀, 한정은, 최유민) 11/7-11/11 </v>
      </c>
      <c r="AN26" s="222"/>
      <c r="AO26" s="222"/>
      <c r="AP26" s="222"/>
      <c r="AQ26" s="222"/>
      <c r="AR26" s="222"/>
      <c r="AS26" s="222"/>
      <c r="AT26" s="222"/>
      <c r="AU26" s="222"/>
      <c r="AV26" s="222"/>
      <c r="AW26" s="222"/>
      <c r="AX26" s="222"/>
      <c r="AY26" s="222"/>
      <c r="AZ26" s="222"/>
      <c r="BA26" s="222"/>
      <c r="BB26" s="222"/>
      <c r="BC26" s="222"/>
    </row>
    <row r="27" spans="1:55" ht="12.75" customHeight="1">
      <c r="A27" s="199"/>
      <c r="B27" s="199" t="s">
        <v>210</v>
      </c>
      <c r="C27" s="199">
        <v>1</v>
      </c>
      <c r="D27" s="208" t="s">
        <v>272</v>
      </c>
      <c r="E27" s="200" t="s">
        <v>273</v>
      </c>
      <c r="F27" s="200"/>
      <c r="G27" s="200"/>
      <c r="H27" s="200"/>
      <c r="I27" s="200"/>
      <c r="J27" s="200"/>
      <c r="K27" s="200"/>
      <c r="L27" s="200"/>
      <c r="M27" s="200"/>
      <c r="N27" s="200"/>
      <c r="O27" s="218"/>
      <c r="P27" s="200"/>
      <c r="Q27" s="201">
        <v>44851</v>
      </c>
      <c r="R27" s="201">
        <v>44981</v>
      </c>
      <c r="S27" s="200"/>
      <c r="T27" s="202">
        <v>266</v>
      </c>
      <c r="U27" s="202">
        <v>257</v>
      </c>
      <c r="V27" s="202">
        <v>93</v>
      </c>
      <c r="W27" s="202">
        <v>87</v>
      </c>
      <c r="X27" s="201"/>
      <c r="Y27" s="201"/>
      <c r="Z27" s="203">
        <v>0</v>
      </c>
      <c r="AA27" s="204">
        <v>0</v>
      </c>
      <c r="AB27" s="202"/>
      <c r="AC27" s="200" t="s">
        <v>274</v>
      </c>
      <c r="AD27" s="205"/>
      <c r="AE27" s="206">
        <v>0.96616541353383456</v>
      </c>
      <c r="AF27" s="215">
        <v>0</v>
      </c>
      <c r="AG27" s="221"/>
      <c r="AH27" s="222"/>
      <c r="AI27" s="222"/>
      <c r="AJ27" s="222" t="str">
        <f>" " &amp; TEXT(AF27,"#0.00%") &amp; " "</f>
        <v xml:space="preserve"> 0.00% </v>
      </c>
      <c r="AK27" s="222"/>
      <c r="AL27" s="222"/>
      <c r="AM27" s="222"/>
      <c r="AN27" s="222"/>
      <c r="AO27" s="222"/>
      <c r="AP27" s="222"/>
      <c r="AQ27" s="222"/>
      <c r="AR27" s="222"/>
      <c r="AS27" s="222"/>
      <c r="AT27" s="222"/>
      <c r="AU27" s="222"/>
      <c r="AV27" s="222"/>
      <c r="AW27" s="222"/>
      <c r="AX27" s="222"/>
      <c r="AY27" s="222"/>
      <c r="AZ27" s="222"/>
      <c r="BA27" s="222"/>
      <c r="BB27" s="222" t="str">
        <f>"      " &amp; "컨설팅" &amp; "(한정은, 최유민, 박지호)" &amp; " " &amp; IF(Q27="","",TEXT(Q27,"M/D-")) &amp; IF(R27="","",TEXT(R27,"M/D")) &amp; " "</f>
        <v xml:space="preserve">      컨설팅(한정은, 최유민, 박지호) 10/17-2/24 </v>
      </c>
      <c r="BC27" s="222"/>
    </row>
    <row r="28" spans="1:55" ht="12.75" customHeight="1" outlineLevel="1">
      <c r="A28" s="199"/>
      <c r="B28" s="199" t="s">
        <v>210</v>
      </c>
      <c r="C28" s="199">
        <v>2</v>
      </c>
      <c r="D28" s="208" t="s">
        <v>275</v>
      </c>
      <c r="E28" s="200"/>
      <c r="F28" s="200" t="s">
        <v>276</v>
      </c>
      <c r="G28" s="200"/>
      <c r="H28" s="200"/>
      <c r="I28" s="200"/>
      <c r="J28" s="200"/>
      <c r="K28" s="200"/>
      <c r="L28" s="200"/>
      <c r="M28" s="200"/>
      <c r="N28" s="200"/>
      <c r="O28" s="218"/>
      <c r="P28" s="200"/>
      <c r="Q28" s="201">
        <v>44851</v>
      </c>
      <c r="R28" s="201">
        <v>44883</v>
      </c>
      <c r="S28" s="200"/>
      <c r="T28" s="202">
        <v>26</v>
      </c>
      <c r="U28" s="202">
        <v>26</v>
      </c>
      <c r="V28" s="202">
        <v>25</v>
      </c>
      <c r="W28" s="202">
        <v>25</v>
      </c>
      <c r="X28" s="201"/>
      <c r="Y28" s="201"/>
      <c r="Z28" s="203">
        <v>0</v>
      </c>
      <c r="AA28" s="204">
        <v>0</v>
      </c>
      <c r="AB28" s="202"/>
      <c r="AC28" s="200" t="s">
        <v>277</v>
      </c>
      <c r="AD28" s="205"/>
      <c r="AE28" s="206">
        <v>1</v>
      </c>
      <c r="AF28" s="215">
        <v>0</v>
      </c>
      <c r="AG28" s="221"/>
      <c r="AH28" s="222"/>
      <c r="AI28" s="222"/>
      <c r="AJ28" s="222" t="str">
        <f>" " &amp; TEXT(AF28,"#0.00%") &amp; " "</f>
        <v xml:space="preserve"> 0.00% </v>
      </c>
      <c r="AK28" s="222"/>
      <c r="AL28" s="222"/>
      <c r="AM28" s="222"/>
      <c r="AN28" s="222" t="str">
        <f>"      " &amp; "IT Meta 점검 및 적재" &amp; "(데이터거버넌스팀, 박지호)" &amp; " " &amp; IF(Q28="","",TEXT(Q28,"M/D-")) &amp; IF(R28="","",TEXT(R28,"M/D")) &amp; " "</f>
        <v xml:space="preserve">      IT Meta 점검 및 적재(데이터거버넌스팀, 박지호) 10/17-11/18 </v>
      </c>
      <c r="AO28" s="222"/>
      <c r="AP28" s="222"/>
      <c r="AQ28" s="222"/>
      <c r="AR28" s="222"/>
      <c r="AS28" s="222"/>
      <c r="AT28" s="222"/>
      <c r="AU28" s="222"/>
      <c r="AV28" s="222"/>
      <c r="AW28" s="222"/>
      <c r="AX28" s="222"/>
      <c r="AY28" s="222"/>
      <c r="AZ28" s="222"/>
      <c r="BA28" s="222"/>
      <c r="BB28" s="222"/>
      <c r="BC28" s="222"/>
    </row>
    <row r="29" spans="1:55" ht="12.75" customHeight="1" outlineLevel="2">
      <c r="A29" s="199"/>
      <c r="B29" s="199"/>
      <c r="C29" s="199">
        <v>3</v>
      </c>
      <c r="D29" s="208" t="s">
        <v>278</v>
      </c>
      <c r="E29" s="200"/>
      <c r="F29" s="200"/>
      <c r="G29" s="200" t="s">
        <v>279</v>
      </c>
      <c r="H29" s="200"/>
      <c r="I29" s="200"/>
      <c r="J29" s="200"/>
      <c r="K29" s="200"/>
      <c r="L29" s="200"/>
      <c r="M29" s="200"/>
      <c r="N29" s="200"/>
      <c r="O29" s="218"/>
      <c r="P29" s="200" t="s">
        <v>280</v>
      </c>
      <c r="Q29" s="201">
        <v>44851</v>
      </c>
      <c r="R29" s="201">
        <v>44851</v>
      </c>
      <c r="S29" s="200"/>
      <c r="T29" s="202">
        <v>1</v>
      </c>
      <c r="U29" s="202">
        <v>1</v>
      </c>
      <c r="V29" s="202">
        <v>1</v>
      </c>
      <c r="W29" s="202">
        <v>1</v>
      </c>
      <c r="X29" s="201">
        <v>44851</v>
      </c>
      <c r="Y29" s="201">
        <v>44851</v>
      </c>
      <c r="Z29" s="203">
        <v>1</v>
      </c>
      <c r="AA29" s="204">
        <v>1</v>
      </c>
      <c r="AB29" s="202">
        <v>1</v>
      </c>
      <c r="AC29" s="200" t="s">
        <v>247</v>
      </c>
      <c r="AD29" s="200"/>
      <c r="AE29" s="206">
        <v>1</v>
      </c>
      <c r="AF29" s="214">
        <v>0</v>
      </c>
      <c r="AG29" s="221"/>
      <c r="AH29" s="222"/>
      <c r="AI29" s="222"/>
      <c r="AJ29" s="222" t="str">
        <f>" " &amp; TEXT(AF29,"#0.00%") &amp; " " &amp; "IT Meta 수집" &amp; "(데이터거버넌스팀)" &amp; " " &amp; IF(Q29="","",TEXT(Q29,"M/D-")) &amp; IF(R29="","",TEXT(R29,"M/D")) &amp; " "</f>
        <v xml:space="preserve"> 0.00% IT Meta 수집(데이터거버넌스팀) 10/17-10/17 </v>
      </c>
      <c r="AK29" s="222"/>
      <c r="AL29" s="222"/>
      <c r="AM29" s="222"/>
      <c r="AN29" s="222"/>
      <c r="AO29" s="222"/>
      <c r="AP29" s="222"/>
      <c r="AQ29" s="222"/>
      <c r="AR29" s="222"/>
      <c r="AS29" s="222"/>
      <c r="AT29" s="222"/>
      <c r="AU29" s="222"/>
      <c r="AV29" s="222"/>
      <c r="AW29" s="222"/>
      <c r="AX29" s="222"/>
      <c r="AY29" s="222"/>
      <c r="AZ29" s="222"/>
      <c r="BA29" s="222"/>
      <c r="BB29" s="222"/>
      <c r="BC29" s="222"/>
    </row>
    <row r="30" spans="1:55" ht="12.75" customHeight="1" outlineLevel="2">
      <c r="A30" s="199"/>
      <c r="B30" s="199"/>
      <c r="C30" s="199">
        <v>3</v>
      </c>
      <c r="D30" s="208" t="s">
        <v>281</v>
      </c>
      <c r="E30" s="200"/>
      <c r="F30" s="200"/>
      <c r="G30" s="200" t="s">
        <v>282</v>
      </c>
      <c r="H30" s="200"/>
      <c r="I30" s="200"/>
      <c r="J30" s="200"/>
      <c r="K30" s="200"/>
      <c r="L30" s="200"/>
      <c r="M30" s="200"/>
      <c r="N30" s="200"/>
      <c r="O30" s="218"/>
      <c r="P30" s="200"/>
      <c r="Q30" s="201">
        <v>44851</v>
      </c>
      <c r="R30" s="201">
        <v>44862</v>
      </c>
      <c r="S30" s="200"/>
      <c r="T30" s="202">
        <v>10</v>
      </c>
      <c r="U30" s="202">
        <v>10</v>
      </c>
      <c r="V30" s="202">
        <v>10</v>
      </c>
      <c r="W30" s="202">
        <v>10</v>
      </c>
      <c r="X30" s="201">
        <v>44851</v>
      </c>
      <c r="Y30" s="201">
        <v>44862</v>
      </c>
      <c r="Z30" s="203">
        <v>10</v>
      </c>
      <c r="AA30" s="204">
        <v>10</v>
      </c>
      <c r="AB30" s="202">
        <v>1</v>
      </c>
      <c r="AC30" s="200" t="s">
        <v>283</v>
      </c>
      <c r="AD30" s="200" t="s">
        <v>284</v>
      </c>
      <c r="AE30" s="206">
        <v>1</v>
      </c>
      <c r="AF30" s="214">
        <v>0</v>
      </c>
      <c r="AG30" s="221"/>
      <c r="AH30" s="222"/>
      <c r="AI30" s="222"/>
      <c r="AJ30" s="222" t="str">
        <f>" " &amp; TEXT(AF30,"#0.00%") &amp; " " &amp; "IT Meta 점검" &amp; "(박지호)" &amp; " " &amp; IF(Q30="","",TEXT(Q30,"M/D-")) &amp; IF(R30="","",TEXT(R30,"M/D")) &amp; " "</f>
        <v xml:space="preserve"> 0.00% IT Meta 점검(박지호) 10/17-10/28 </v>
      </c>
      <c r="AK30" s="222"/>
      <c r="AL30" s="222"/>
      <c r="AM30" s="222"/>
      <c r="AN30" s="222"/>
      <c r="AO30" s="222"/>
      <c r="AP30" s="222"/>
      <c r="AQ30" s="222"/>
      <c r="AR30" s="222"/>
      <c r="AS30" s="222"/>
      <c r="AT30" s="222"/>
      <c r="AU30" s="222"/>
      <c r="AV30" s="222"/>
      <c r="AW30" s="222"/>
      <c r="AX30" s="222"/>
      <c r="AY30" s="222"/>
      <c r="AZ30" s="222"/>
      <c r="BA30" s="222"/>
      <c r="BB30" s="222"/>
      <c r="BC30" s="222"/>
    </row>
    <row r="31" spans="1:55" ht="12.75" customHeight="1" outlineLevel="2">
      <c r="A31" s="199"/>
      <c r="B31" s="199"/>
      <c r="C31" s="199">
        <v>3</v>
      </c>
      <c r="D31" s="208" t="s">
        <v>285</v>
      </c>
      <c r="E31" s="200"/>
      <c r="F31" s="200"/>
      <c r="G31" s="200" t="s">
        <v>286</v>
      </c>
      <c r="H31" s="200"/>
      <c r="I31" s="200"/>
      <c r="J31" s="200"/>
      <c r="K31" s="200"/>
      <c r="L31" s="200"/>
      <c r="M31" s="200"/>
      <c r="N31" s="200"/>
      <c r="O31" s="218"/>
      <c r="P31" s="200" t="s">
        <v>287</v>
      </c>
      <c r="Q31" s="201">
        <v>44865</v>
      </c>
      <c r="R31" s="201">
        <v>44876</v>
      </c>
      <c r="S31" s="200"/>
      <c r="T31" s="202">
        <v>10</v>
      </c>
      <c r="U31" s="202">
        <v>10</v>
      </c>
      <c r="V31" s="202">
        <v>10</v>
      </c>
      <c r="W31" s="202">
        <v>10</v>
      </c>
      <c r="X31" s="201">
        <v>44865</v>
      </c>
      <c r="Y31" s="201">
        <v>44883</v>
      </c>
      <c r="Z31" s="203">
        <v>15</v>
      </c>
      <c r="AA31" s="204">
        <v>15</v>
      </c>
      <c r="AB31" s="202">
        <v>1</v>
      </c>
      <c r="AC31" s="200" t="s">
        <v>247</v>
      </c>
      <c r="AD31" s="200"/>
      <c r="AE31" s="206">
        <v>1</v>
      </c>
      <c r="AF31" s="214">
        <v>0</v>
      </c>
      <c r="AG31" s="221"/>
      <c r="AH31" s="222"/>
      <c r="AI31" s="222"/>
      <c r="AJ31" s="222"/>
      <c r="AK31" s="222"/>
      <c r="AL31" s="222" t="str">
        <f>" " &amp; TEXT(AF31,"#0.00%") &amp; " " &amp; "IT Meta 점검결과 검토 및 반영" &amp; "(데이터거버넌스팀)" &amp; " " &amp; IF(Q31="","",TEXT(Q31,"M/D-")) &amp; IF(R31="","",TEXT(R31,"M/D")) &amp; " "</f>
        <v xml:space="preserve"> 0.00% IT Meta 점검결과 검토 및 반영(데이터거버넌스팀) 10/31-11/11 </v>
      </c>
      <c r="AM31" s="222"/>
      <c r="AN31" s="222"/>
      <c r="AO31" s="222"/>
      <c r="AP31" s="222"/>
      <c r="AQ31" s="222"/>
      <c r="AR31" s="222"/>
      <c r="AS31" s="222"/>
      <c r="AT31" s="222"/>
      <c r="AU31" s="222"/>
      <c r="AV31" s="222"/>
      <c r="AW31" s="222"/>
      <c r="AX31" s="222"/>
      <c r="AY31" s="222"/>
      <c r="AZ31" s="222"/>
      <c r="BA31" s="222"/>
      <c r="BB31" s="222"/>
      <c r="BC31" s="222"/>
    </row>
    <row r="32" spans="1:55" ht="12.75" customHeight="1" outlineLevel="2">
      <c r="A32" s="199"/>
      <c r="B32" s="199"/>
      <c r="C32" s="199">
        <v>3</v>
      </c>
      <c r="D32" s="208" t="s">
        <v>288</v>
      </c>
      <c r="E32" s="200"/>
      <c r="F32" s="200"/>
      <c r="G32" s="200" t="s">
        <v>289</v>
      </c>
      <c r="H32" s="200"/>
      <c r="I32" s="200"/>
      <c r="J32" s="200"/>
      <c r="K32" s="200"/>
      <c r="L32" s="200"/>
      <c r="M32" s="200"/>
      <c r="N32" s="200"/>
      <c r="O32" s="218"/>
      <c r="P32" s="200"/>
      <c r="Q32" s="201">
        <v>44879</v>
      </c>
      <c r="R32" s="201">
        <v>44883</v>
      </c>
      <c r="S32" s="200"/>
      <c r="T32" s="202">
        <v>5</v>
      </c>
      <c r="U32" s="202">
        <v>5</v>
      </c>
      <c r="V32" s="202">
        <v>5</v>
      </c>
      <c r="W32" s="202">
        <v>5</v>
      </c>
      <c r="X32" s="201">
        <v>44879</v>
      </c>
      <c r="Y32" s="201">
        <v>44883</v>
      </c>
      <c r="Z32" s="203">
        <v>5</v>
      </c>
      <c r="AA32" s="204">
        <v>5</v>
      </c>
      <c r="AB32" s="202">
        <v>1</v>
      </c>
      <c r="AC32" s="200" t="s">
        <v>283</v>
      </c>
      <c r="AD32" s="205" t="s">
        <v>290</v>
      </c>
      <c r="AE32" s="206">
        <v>1</v>
      </c>
      <c r="AF32" s="214">
        <v>0</v>
      </c>
      <c r="AG32" s="221"/>
      <c r="AH32" s="222"/>
      <c r="AI32" s="222"/>
      <c r="AJ32" s="222"/>
      <c r="AK32" s="222"/>
      <c r="AL32" s="222"/>
      <c r="AM32" s="222"/>
      <c r="AN32" s="222" t="str">
        <f>" " &amp; TEXT(AF32,"#0.00%") &amp; " " &amp; "IT Meta 적재" &amp; "(박지호)" &amp; " " &amp; IF(Q32="","",TEXT(Q32,"M/D-")) &amp; IF(R32="","",TEXT(R32,"M/D")) &amp; " "</f>
        <v xml:space="preserve"> 0.00% IT Meta 적재(박지호) 11/14-11/18 </v>
      </c>
      <c r="AO32" s="222"/>
      <c r="AP32" s="222"/>
      <c r="AQ32" s="222"/>
      <c r="AR32" s="222"/>
      <c r="AS32" s="222"/>
      <c r="AT32" s="222"/>
      <c r="AU32" s="222"/>
      <c r="AV32" s="222"/>
      <c r="AW32" s="222"/>
      <c r="AX32" s="222"/>
      <c r="AY32" s="222"/>
      <c r="AZ32" s="222"/>
      <c r="BA32" s="222"/>
      <c r="BB32" s="222"/>
      <c r="BC32" s="222"/>
    </row>
    <row r="33" spans="1:55" ht="12.75" customHeight="1" outlineLevel="1">
      <c r="A33" s="199"/>
      <c r="B33" s="199" t="s">
        <v>210</v>
      </c>
      <c r="C33" s="199">
        <v>2</v>
      </c>
      <c r="D33" s="208" t="s">
        <v>291</v>
      </c>
      <c r="E33" s="200"/>
      <c r="F33" s="200" t="s">
        <v>292</v>
      </c>
      <c r="G33" s="200"/>
      <c r="H33" s="200"/>
      <c r="I33" s="200"/>
      <c r="J33" s="200"/>
      <c r="K33" s="200"/>
      <c r="L33" s="200"/>
      <c r="M33" s="200"/>
      <c r="N33" s="200"/>
      <c r="O33" s="218"/>
      <c r="P33" s="200"/>
      <c r="Q33" s="201">
        <v>44879</v>
      </c>
      <c r="R33" s="201">
        <v>44978</v>
      </c>
      <c r="S33" s="200"/>
      <c r="T33" s="202">
        <v>101</v>
      </c>
      <c r="U33" s="202">
        <v>98</v>
      </c>
      <c r="V33" s="202">
        <v>70</v>
      </c>
      <c r="W33" s="202">
        <v>67</v>
      </c>
      <c r="X33" s="201"/>
      <c r="Y33" s="201"/>
      <c r="Z33" s="203">
        <v>0</v>
      </c>
      <c r="AA33" s="204">
        <v>0</v>
      </c>
      <c r="AB33" s="202"/>
      <c r="AC33" s="200" t="s">
        <v>254</v>
      </c>
      <c r="AD33" s="205"/>
      <c r="AE33" s="206">
        <v>0.97029702970297027</v>
      </c>
      <c r="AF33" s="215">
        <v>0</v>
      </c>
      <c r="AG33" s="221"/>
      <c r="AH33" s="222"/>
      <c r="AI33" s="222"/>
      <c r="AJ33" s="222"/>
      <c r="AK33" s="222"/>
      <c r="AL33" s="222"/>
      <c r="AM33" s="222"/>
      <c r="AN33" s="222" t="str">
        <f>" " &amp; TEXT(AF33,"#0.00%") &amp; " "</f>
        <v xml:space="preserve"> 0.00% </v>
      </c>
      <c r="AO33" s="222"/>
      <c r="AP33" s="222"/>
      <c r="AQ33" s="222"/>
      <c r="AR33" s="222"/>
      <c r="AS33" s="222"/>
      <c r="AT33" s="222"/>
      <c r="AU33" s="222"/>
      <c r="AV33" s="222"/>
      <c r="AW33" s="222"/>
      <c r="AX33" s="222"/>
      <c r="AY33" s="222"/>
      <c r="AZ33" s="222"/>
      <c r="BA33" s="222"/>
      <c r="BB33" s="222" t="str">
        <f>"   " &amp; "Biz. Meta 구축" &amp; "(데이터거버넌스팀, 한정은, 최유민)" &amp; " " &amp; IF(Q33="","",TEXT(Q33,"M/D-")) &amp; IF(R33="","",TEXT(R33,"M/D")) &amp; " "</f>
        <v xml:space="preserve">   Biz. Meta 구축(데이터거버넌스팀, 한정은, 최유민) 11/14-2/21 </v>
      </c>
      <c r="BC33" s="222"/>
    </row>
    <row r="34" spans="1:55" ht="12.75" customHeight="1" outlineLevel="2">
      <c r="A34" s="199"/>
      <c r="B34" s="199" t="s">
        <v>210</v>
      </c>
      <c r="C34" s="199">
        <v>3</v>
      </c>
      <c r="D34" s="208" t="s">
        <v>293</v>
      </c>
      <c r="E34" s="200"/>
      <c r="F34" s="200"/>
      <c r="G34" s="200" t="s">
        <v>1707</v>
      </c>
      <c r="H34" s="200"/>
      <c r="I34" s="200"/>
      <c r="J34" s="200"/>
      <c r="K34" s="200"/>
      <c r="L34" s="200"/>
      <c r="M34" s="200"/>
      <c r="N34" s="200"/>
      <c r="O34" s="218"/>
      <c r="P34" s="200"/>
      <c r="Q34" s="201">
        <v>44879</v>
      </c>
      <c r="R34" s="201">
        <v>44925</v>
      </c>
      <c r="S34" s="200"/>
      <c r="T34" s="202">
        <v>40</v>
      </c>
      <c r="U34" s="202">
        <v>40</v>
      </c>
      <c r="V34" s="202">
        <v>35</v>
      </c>
      <c r="W34" s="202">
        <v>35</v>
      </c>
      <c r="X34" s="201"/>
      <c r="Y34" s="201"/>
      <c r="Z34" s="203">
        <v>0</v>
      </c>
      <c r="AA34" s="204">
        <v>0</v>
      </c>
      <c r="AB34" s="202"/>
      <c r="AC34" s="200" t="s">
        <v>242</v>
      </c>
      <c r="AD34" s="205"/>
      <c r="AE34" s="206">
        <v>1</v>
      </c>
      <c r="AF34" s="215">
        <v>0</v>
      </c>
      <c r="AG34" s="221"/>
      <c r="AH34" s="222"/>
      <c r="AI34" s="222"/>
      <c r="AJ34" s="222"/>
      <c r="AK34" s="222"/>
      <c r="AL34" s="222"/>
      <c r="AM34" s="222"/>
      <c r="AN34" s="222" t="str">
        <f>" " &amp; TEXT(AF34,"#0.00%") &amp; " "</f>
        <v xml:space="preserve"> 0.00% </v>
      </c>
      <c r="AO34" s="222"/>
      <c r="AP34" s="222"/>
      <c r="AQ34" s="222"/>
      <c r="AR34" s="222"/>
      <c r="AS34" s="222"/>
      <c r="AT34" s="222" t="str">
        <f>"      " &amp; "원천 용어 Parsing 및 후보도출" &amp; "(한정은, 최유민)" &amp; " " &amp; IF(Q34="","",TEXT(Q34,"M/D-")) &amp; IF(R34="","",TEXT(R34,"M/D")) &amp; " "</f>
        <v xml:space="preserve">      원천 용어 Parsing 및 후보도출(한정은, 최유민) 11/14-12/30 </v>
      </c>
      <c r="AU34" s="222"/>
      <c r="AV34" s="222"/>
      <c r="AW34" s="222"/>
      <c r="AX34" s="222"/>
      <c r="AY34" s="222"/>
      <c r="AZ34" s="222"/>
      <c r="BA34" s="222"/>
      <c r="BB34" s="222"/>
      <c r="BC34" s="222"/>
    </row>
    <row r="35" spans="1:55" ht="12.75" customHeight="1" outlineLevel="3">
      <c r="A35" s="199"/>
      <c r="B35" s="199"/>
      <c r="C35" s="199">
        <v>4</v>
      </c>
      <c r="D35" s="208" t="s">
        <v>294</v>
      </c>
      <c r="E35" s="200"/>
      <c r="F35" s="200"/>
      <c r="G35" s="200"/>
      <c r="H35" s="200" t="s">
        <v>295</v>
      </c>
      <c r="I35" s="200"/>
      <c r="J35" s="200"/>
      <c r="K35" s="200"/>
      <c r="L35" s="200"/>
      <c r="M35" s="200"/>
      <c r="N35" s="200"/>
      <c r="O35" s="218"/>
      <c r="P35" s="200"/>
      <c r="Q35" s="201">
        <v>44879</v>
      </c>
      <c r="R35" s="201">
        <v>44918</v>
      </c>
      <c r="S35" s="200"/>
      <c r="T35" s="202">
        <v>30</v>
      </c>
      <c r="U35" s="202">
        <v>30</v>
      </c>
      <c r="V35" s="202">
        <v>30</v>
      </c>
      <c r="W35" s="202">
        <v>30</v>
      </c>
      <c r="X35" s="201">
        <v>44879</v>
      </c>
      <c r="Y35" s="201">
        <v>44918</v>
      </c>
      <c r="Z35" s="203">
        <v>30</v>
      </c>
      <c r="AA35" s="204">
        <v>30</v>
      </c>
      <c r="AB35" s="202">
        <v>1</v>
      </c>
      <c r="AC35" s="200" t="s">
        <v>242</v>
      </c>
      <c r="AD35" s="205"/>
      <c r="AE35" s="206">
        <v>1</v>
      </c>
      <c r="AF35" s="214">
        <v>0</v>
      </c>
      <c r="AG35" s="221"/>
      <c r="AH35" s="222"/>
      <c r="AI35" s="222"/>
      <c r="AJ35" s="222"/>
      <c r="AK35" s="222"/>
      <c r="AL35" s="222"/>
      <c r="AM35" s="222"/>
      <c r="AN35" s="222" t="str">
        <f>" " &amp; TEXT(AF35,"#0.00%") &amp; " "</f>
        <v xml:space="preserve"> 0.00% </v>
      </c>
      <c r="AO35" s="222"/>
      <c r="AP35" s="222"/>
      <c r="AQ35" s="222"/>
      <c r="AR35" s="222"/>
      <c r="AS35" s="222" t="str">
        <f>"      " &amp; "원천용어 추출 및 분류" &amp; "(한정은, 최유민)" &amp; " " &amp; IF(Q35="","",TEXT(Q35,"M/D-")) &amp; IF(R35="","",TEXT(R35,"M/D")) &amp; " "</f>
        <v xml:space="preserve">      원천용어 추출 및 분류(한정은, 최유민) 11/14-12/23 </v>
      </c>
      <c r="AT35" s="222"/>
      <c r="AU35" s="222"/>
      <c r="AV35" s="222"/>
      <c r="AW35" s="222"/>
      <c r="AX35" s="222"/>
      <c r="AY35" s="222"/>
      <c r="AZ35" s="222"/>
      <c r="BA35" s="222"/>
      <c r="BB35" s="222"/>
      <c r="BC35" s="222"/>
    </row>
    <row r="36" spans="1:55" ht="12.75" customHeight="1" outlineLevel="3">
      <c r="A36" s="199"/>
      <c r="B36" s="199"/>
      <c r="C36" s="199">
        <v>4</v>
      </c>
      <c r="D36" s="208" t="s">
        <v>296</v>
      </c>
      <c r="E36" s="200"/>
      <c r="F36" s="200"/>
      <c r="G36" s="200"/>
      <c r="H36" s="205" t="s">
        <v>297</v>
      </c>
      <c r="I36" s="200"/>
      <c r="J36" s="200"/>
      <c r="K36" s="200"/>
      <c r="L36" s="200"/>
      <c r="M36" s="200"/>
      <c r="N36" s="200"/>
      <c r="O36" s="218"/>
      <c r="P36" s="200" t="s">
        <v>298</v>
      </c>
      <c r="Q36" s="201">
        <v>44921</v>
      </c>
      <c r="R36" s="201">
        <v>44925</v>
      </c>
      <c r="S36" s="200"/>
      <c r="T36" s="202">
        <v>5</v>
      </c>
      <c r="U36" s="202">
        <v>5</v>
      </c>
      <c r="V36" s="202">
        <v>5</v>
      </c>
      <c r="W36" s="202">
        <v>5</v>
      </c>
      <c r="X36" s="201">
        <v>44921</v>
      </c>
      <c r="Y36" s="201">
        <v>44925</v>
      </c>
      <c r="Z36" s="203">
        <v>5</v>
      </c>
      <c r="AA36" s="204">
        <v>5</v>
      </c>
      <c r="AB36" s="202">
        <v>1</v>
      </c>
      <c r="AC36" s="200" t="s">
        <v>242</v>
      </c>
      <c r="AD36" s="205" t="s">
        <v>299</v>
      </c>
      <c r="AE36" s="206">
        <v>1</v>
      </c>
      <c r="AF36" s="214">
        <v>0</v>
      </c>
      <c r="AG36" s="221"/>
      <c r="AH36" s="222"/>
      <c r="AI36" s="222"/>
      <c r="AJ36" s="222"/>
      <c r="AK36" s="222"/>
      <c r="AL36" s="222"/>
      <c r="AM36" s="222"/>
      <c r="AN36" s="222"/>
      <c r="AO36" s="222"/>
      <c r="AP36" s="222"/>
      <c r="AQ36" s="222"/>
      <c r="AR36" s="222"/>
      <c r="AS36" s="222"/>
      <c r="AT36" s="222" t="str">
        <f>" " &amp; TEXT(AF36,"#0.00%") &amp; " " &amp; "Biz. Meta 후보도출 결과 작성" &amp; "(한정은, 최유민)" &amp; " " &amp; IF(Q36="","",TEXT(Q36,"M/D-")) &amp; IF(R36="","",TEXT(R36,"M/D")) &amp; " "</f>
        <v xml:space="preserve"> 0.00% Biz. Meta 후보도출 결과 작성(한정은, 최유민) 12/26-12/30 </v>
      </c>
      <c r="AU36" s="222"/>
      <c r="AV36" s="222"/>
      <c r="AW36" s="222"/>
      <c r="AX36" s="222"/>
      <c r="AY36" s="222"/>
      <c r="AZ36" s="222"/>
      <c r="BA36" s="222"/>
      <c r="BB36" s="222"/>
      <c r="BC36" s="222"/>
    </row>
    <row r="37" spans="1:55" ht="12.75" customHeight="1" outlineLevel="3">
      <c r="A37" s="199"/>
      <c r="B37" s="199"/>
      <c r="C37" s="199">
        <v>4</v>
      </c>
      <c r="D37" s="208" t="s">
        <v>1687</v>
      </c>
      <c r="E37" s="200"/>
      <c r="F37" s="200"/>
      <c r="G37" s="200"/>
      <c r="H37" s="205" t="s">
        <v>1686</v>
      </c>
      <c r="I37" s="200"/>
      <c r="J37" s="200"/>
      <c r="K37" s="200"/>
      <c r="L37" s="200"/>
      <c r="M37" s="200"/>
      <c r="N37" s="200"/>
      <c r="O37" s="218"/>
      <c r="P37" s="200" t="s">
        <v>1691</v>
      </c>
      <c r="Q37" s="201">
        <v>44900</v>
      </c>
      <c r="R37" s="201">
        <v>44904</v>
      </c>
      <c r="S37" s="200"/>
      <c r="T37" s="202">
        <v>5</v>
      </c>
      <c r="U37" s="202">
        <v>5</v>
      </c>
      <c r="V37" s="202">
        <v>5</v>
      </c>
      <c r="W37" s="202">
        <v>5</v>
      </c>
      <c r="X37" s="201">
        <v>44907</v>
      </c>
      <c r="Y37" s="201">
        <v>44915</v>
      </c>
      <c r="Z37" s="203">
        <v>7</v>
      </c>
      <c r="AA37" s="204">
        <v>7</v>
      </c>
      <c r="AB37" s="202">
        <v>1</v>
      </c>
      <c r="AC37" s="200" t="s">
        <v>247</v>
      </c>
      <c r="AD37" s="205"/>
      <c r="AE37" s="206">
        <v>1</v>
      </c>
      <c r="AF37" s="214">
        <v>0</v>
      </c>
      <c r="AG37" s="221"/>
      <c r="AH37" s="222"/>
      <c r="AI37" s="222"/>
      <c r="AJ37" s="222"/>
      <c r="AK37" s="222"/>
      <c r="AL37" s="222"/>
      <c r="AM37" s="222"/>
      <c r="AN37" s="222"/>
      <c r="AO37" s="222"/>
      <c r="AP37" s="222"/>
      <c r="AQ37" s="222" t="str">
        <f>" " &amp; TEXT(AF37,"#0.00%") &amp; " " &amp; "현업 인터뷰 일정 조율" &amp; "(데이터거버넌스팀)" &amp; " " &amp; IF(Q37="","",TEXT(Q37,"M/D-")) &amp; IF(R37="","",TEXT(R37,"M/D")) &amp; " "</f>
        <v xml:space="preserve"> 0.00% 현업 인터뷰 일정 조율(데이터거버넌스팀) 12/5-12/9 </v>
      </c>
      <c r="AR37" s="222"/>
      <c r="AS37" s="222"/>
      <c r="AT37" s="222"/>
      <c r="AU37" s="222"/>
      <c r="AV37" s="222"/>
      <c r="AW37" s="222"/>
      <c r="AX37" s="222"/>
      <c r="AY37" s="222"/>
      <c r="AZ37" s="222"/>
      <c r="BA37" s="222"/>
      <c r="BB37" s="222"/>
      <c r="BC37" s="222"/>
    </row>
    <row r="38" spans="1:55" ht="12.75" customHeight="1" outlineLevel="2">
      <c r="A38" s="199"/>
      <c r="B38" s="199" t="s">
        <v>210</v>
      </c>
      <c r="C38" s="199">
        <v>3</v>
      </c>
      <c r="D38" s="208" t="s">
        <v>300</v>
      </c>
      <c r="E38" s="200"/>
      <c r="F38" s="200"/>
      <c r="G38" s="200" t="s">
        <v>1708</v>
      </c>
      <c r="H38" s="200"/>
      <c r="I38" s="200"/>
      <c r="J38" s="200"/>
      <c r="K38" s="200"/>
      <c r="L38" s="200"/>
      <c r="M38" s="200"/>
      <c r="N38" s="200"/>
      <c r="O38" s="218"/>
      <c r="P38" s="200"/>
      <c r="Q38" s="201">
        <v>44917</v>
      </c>
      <c r="R38" s="201">
        <v>44974</v>
      </c>
      <c r="S38" s="200"/>
      <c r="T38" s="202">
        <v>59</v>
      </c>
      <c r="U38" s="202">
        <v>58</v>
      </c>
      <c r="V38" s="202">
        <v>40</v>
      </c>
      <c r="W38" s="202">
        <v>39</v>
      </c>
      <c r="X38" s="201"/>
      <c r="Y38" s="201"/>
      <c r="Z38" s="203">
        <v>0</v>
      </c>
      <c r="AA38" s="204">
        <v>0</v>
      </c>
      <c r="AB38" s="202"/>
      <c r="AC38" s="200" t="s">
        <v>254</v>
      </c>
      <c r="AD38" s="205"/>
      <c r="AE38" s="206">
        <v>0.98305084745762716</v>
      </c>
      <c r="AF38" s="215">
        <v>0</v>
      </c>
      <c r="AG38" s="221"/>
      <c r="AH38" s="222"/>
      <c r="AI38" s="222"/>
      <c r="AJ38" s="222"/>
      <c r="AK38" s="222"/>
      <c r="AL38" s="222"/>
      <c r="AM38" s="222"/>
      <c r="AN38" s="222"/>
      <c r="AO38" s="222"/>
      <c r="AP38" s="222"/>
      <c r="AQ38" s="222"/>
      <c r="AR38" s="222"/>
      <c r="AS38" s="222" t="str">
        <f>"    " &amp; TEXT(AF38,"#0.00%") &amp; " "</f>
        <v xml:space="preserve">    0.00% </v>
      </c>
      <c r="AT38" s="222"/>
      <c r="AU38" s="222"/>
      <c r="AV38" s="222"/>
      <c r="AW38" s="222"/>
      <c r="AX38" s="222"/>
      <c r="AY38" s="222"/>
      <c r="AZ38" s="222"/>
      <c r="BA38" s="222" t="str">
        <f>"      " &amp; "Biz. Meta 현업 검토 및 후보 확정" &amp; "(데이터거버넌스팀, 한정은, 최유민)" &amp; " " &amp; IF(Q38="","",TEXT(Q38,"M/D-")) &amp; IF(R38="","",TEXT(R38,"M/D")) &amp; " "</f>
        <v xml:space="preserve">      Biz. Meta 현업 검토 및 후보 확정(데이터거버넌스팀, 한정은, 최유민) 12/22-2/17 </v>
      </c>
      <c r="BB38" s="222"/>
      <c r="BC38" s="222"/>
    </row>
    <row r="39" spans="1:55" ht="12.75" customHeight="1" outlineLevel="3">
      <c r="A39" s="199"/>
      <c r="B39" s="199"/>
      <c r="C39" s="199">
        <v>4</v>
      </c>
      <c r="D39" s="208" t="s">
        <v>301</v>
      </c>
      <c r="E39" s="200"/>
      <c r="F39" s="200"/>
      <c r="G39" s="200"/>
      <c r="H39" s="200" t="s">
        <v>1709</v>
      </c>
      <c r="I39" s="200"/>
      <c r="J39" s="200"/>
      <c r="K39" s="200"/>
      <c r="L39" s="200"/>
      <c r="M39" s="200"/>
      <c r="N39" s="200"/>
      <c r="O39" s="218"/>
      <c r="P39" s="200" t="s">
        <v>1711</v>
      </c>
      <c r="Q39" s="201">
        <v>44917</v>
      </c>
      <c r="R39" s="201">
        <v>44932</v>
      </c>
      <c r="S39" s="200"/>
      <c r="T39" s="202">
        <v>12</v>
      </c>
      <c r="U39" s="202">
        <v>12</v>
      </c>
      <c r="V39" s="202">
        <v>12</v>
      </c>
      <c r="W39" s="202">
        <v>12</v>
      </c>
      <c r="X39" s="201">
        <v>44917</v>
      </c>
      <c r="Y39" s="201">
        <v>44932</v>
      </c>
      <c r="Z39" s="203">
        <v>12</v>
      </c>
      <c r="AA39" s="204">
        <v>12</v>
      </c>
      <c r="AB39" s="202">
        <v>1</v>
      </c>
      <c r="AC39" s="200" t="s">
        <v>247</v>
      </c>
      <c r="AD39" s="205"/>
      <c r="AE39" s="206">
        <v>1</v>
      </c>
      <c r="AF39" s="214">
        <v>0</v>
      </c>
      <c r="AG39" s="221"/>
      <c r="AH39" s="222"/>
      <c r="AI39" s="222"/>
      <c r="AJ39" s="222"/>
      <c r="AK39" s="222"/>
      <c r="AL39" s="222"/>
      <c r="AM39" s="222"/>
      <c r="AN39" s="222"/>
      <c r="AO39" s="222"/>
      <c r="AP39" s="222"/>
      <c r="AQ39" s="222"/>
      <c r="AR39" s="222"/>
      <c r="AS39" s="222" t="str">
        <f>"    " &amp; TEXT(AF39,"#0.00%") &amp; " " &amp; "현업 설명회" &amp; "(데이터거버넌스팀)" &amp; " " &amp; IF(Q39="","",TEXT(Q39,"M/D-")) &amp; IF(R39="","",TEXT(R39,"M/D")) &amp; " "</f>
        <v xml:space="preserve">    0.00% 현업 설명회(데이터거버넌스팀) 12/22-1/6 </v>
      </c>
      <c r="AT39" s="222"/>
      <c r="AU39" s="222"/>
      <c r="AV39" s="222"/>
      <c r="AW39" s="222"/>
      <c r="AX39" s="222"/>
      <c r="AY39" s="222"/>
      <c r="AZ39" s="222"/>
      <c r="BA39" s="222"/>
      <c r="BB39" s="222"/>
      <c r="BC39" s="222"/>
    </row>
    <row r="40" spans="1:55" ht="12.75" customHeight="1" outlineLevel="3">
      <c r="A40" s="199"/>
      <c r="B40" s="199"/>
      <c r="C40" s="199">
        <v>4</v>
      </c>
      <c r="D40" s="208" t="s">
        <v>303</v>
      </c>
      <c r="E40" s="200"/>
      <c r="F40" s="200"/>
      <c r="G40" s="200"/>
      <c r="H40" s="200" t="s">
        <v>1710</v>
      </c>
      <c r="I40" s="200"/>
      <c r="J40" s="200"/>
      <c r="K40" s="200"/>
      <c r="L40" s="200"/>
      <c r="M40" s="200"/>
      <c r="N40" s="200"/>
      <c r="O40" s="218"/>
      <c r="P40" s="150" t="s">
        <v>1690</v>
      </c>
      <c r="Q40" s="201">
        <v>44918</v>
      </c>
      <c r="R40" s="201">
        <v>44960</v>
      </c>
      <c r="S40" s="200"/>
      <c r="T40" s="202">
        <v>29</v>
      </c>
      <c r="U40" s="202">
        <v>29</v>
      </c>
      <c r="V40" s="202">
        <v>29</v>
      </c>
      <c r="W40" s="202">
        <v>29</v>
      </c>
      <c r="X40" s="201">
        <v>44918</v>
      </c>
      <c r="Y40" s="201">
        <v>44967</v>
      </c>
      <c r="Z40" s="203">
        <v>34</v>
      </c>
      <c r="AA40" s="204">
        <v>34</v>
      </c>
      <c r="AB40" s="202">
        <v>1</v>
      </c>
      <c r="AC40" s="200" t="s">
        <v>1689</v>
      </c>
      <c r="AD40" s="205" t="s">
        <v>263</v>
      </c>
      <c r="AE40" s="206">
        <v>1</v>
      </c>
      <c r="AF40" s="214">
        <v>0</v>
      </c>
      <c r="AG40" s="221"/>
      <c r="AH40" s="222"/>
      <c r="AI40" s="222"/>
      <c r="AJ40" s="222"/>
      <c r="AK40" s="222"/>
      <c r="AL40" s="222"/>
      <c r="AM40" s="222"/>
      <c r="AN40" s="222"/>
      <c r="AO40" s="222"/>
      <c r="AP40" s="222"/>
      <c r="AQ40" s="222"/>
      <c r="AR40" s="222"/>
      <c r="AS40" s="222" t="str">
        <f>"     " &amp; TEXT(AF40,"#0.00%") &amp; " "</f>
        <v xml:space="preserve">     0.00% </v>
      </c>
      <c r="AT40" s="222"/>
      <c r="AU40" s="222"/>
      <c r="AV40" s="222"/>
      <c r="AW40" s="222"/>
      <c r="AX40" s="222"/>
      <c r="AY40" s="222" t="str">
        <f>"      " &amp; "현업 검토결과 피드백 수집" &amp; "(한정은,최유민)" &amp; " " &amp; IF(Q40="","",TEXT(Q40,"M/D-")) &amp; IF(R40="","",TEXT(R40,"M/D")) &amp; " "</f>
        <v xml:space="preserve">      현업 검토결과 피드백 수집(한정은,최유민) 12/23-2/3 </v>
      </c>
      <c r="AZ40" s="222"/>
      <c r="BA40" s="222"/>
      <c r="BB40" s="222"/>
      <c r="BC40" s="222"/>
    </row>
    <row r="41" spans="1:55" ht="12.75" customHeight="1" outlineLevel="3">
      <c r="A41" s="199"/>
      <c r="B41" s="199"/>
      <c r="C41" s="199">
        <v>4</v>
      </c>
      <c r="D41" s="208" t="s">
        <v>306</v>
      </c>
      <c r="E41" s="200"/>
      <c r="F41" s="200"/>
      <c r="G41" s="200"/>
      <c r="H41" s="205" t="s">
        <v>304</v>
      </c>
      <c r="I41" s="200"/>
      <c r="J41" s="200"/>
      <c r="K41" s="200"/>
      <c r="L41" s="200"/>
      <c r="M41" s="200"/>
      <c r="N41" s="200"/>
      <c r="O41" s="218"/>
      <c r="P41" s="200" t="s">
        <v>1736</v>
      </c>
      <c r="Q41" s="201">
        <v>44949</v>
      </c>
      <c r="R41" s="201">
        <v>44967</v>
      </c>
      <c r="S41" s="200"/>
      <c r="T41" s="202">
        <v>13</v>
      </c>
      <c r="U41" s="202">
        <v>13</v>
      </c>
      <c r="V41" s="202">
        <v>13</v>
      </c>
      <c r="W41" s="202">
        <v>13</v>
      </c>
      <c r="X41" s="201">
        <v>44949</v>
      </c>
      <c r="Y41" s="201">
        <v>44974</v>
      </c>
      <c r="Z41" s="203">
        <v>18</v>
      </c>
      <c r="AA41" s="204">
        <v>18</v>
      </c>
      <c r="AB41" s="202">
        <v>1</v>
      </c>
      <c r="AC41" s="200" t="s">
        <v>242</v>
      </c>
      <c r="AD41" s="205" t="s">
        <v>305</v>
      </c>
      <c r="AE41" s="206">
        <v>1</v>
      </c>
      <c r="AF41" s="214">
        <v>0</v>
      </c>
      <c r="AG41" s="221"/>
      <c r="AH41" s="222"/>
      <c r="AI41" s="222"/>
      <c r="AJ41" s="222"/>
      <c r="AK41" s="222"/>
      <c r="AL41" s="222"/>
      <c r="AM41" s="222"/>
      <c r="AN41" s="222"/>
      <c r="AO41" s="222"/>
      <c r="AP41" s="222"/>
      <c r="AQ41" s="222"/>
      <c r="AR41" s="222"/>
      <c r="AS41" s="222"/>
      <c r="AT41" s="222"/>
      <c r="AU41" s="222"/>
      <c r="AV41" s="222"/>
      <c r="AW41" s="222"/>
      <c r="AX41" s="222" t="str">
        <f>" " &amp; TEXT(AF41,"#0.00%") &amp; " " &amp; "Biz. Meta 용어사전 작성" &amp; "(한정은, 최유민)" &amp; " " &amp; IF(Q41="","",TEXT(Q41,"M/D-")) &amp; IF(R41="","",TEXT(R41,"M/D")) &amp; " "</f>
        <v xml:space="preserve"> 0.00% Biz. Meta 용어사전 작성(한정은, 최유민) 1/23-2/10 </v>
      </c>
      <c r="AY41" s="222"/>
      <c r="AZ41" s="222"/>
      <c r="BA41" s="222"/>
      <c r="BB41" s="222"/>
      <c r="BC41" s="222"/>
    </row>
    <row r="42" spans="1:55" ht="12.75" customHeight="1" outlineLevel="3">
      <c r="A42" s="199"/>
      <c r="B42" s="199"/>
      <c r="C42" s="199">
        <v>4</v>
      </c>
      <c r="D42" s="208" t="s">
        <v>1688</v>
      </c>
      <c r="E42" s="200"/>
      <c r="F42" s="200"/>
      <c r="G42" s="200"/>
      <c r="H42" s="205" t="s">
        <v>307</v>
      </c>
      <c r="I42" s="200"/>
      <c r="J42" s="200"/>
      <c r="K42" s="200"/>
      <c r="L42" s="200"/>
      <c r="M42" s="200"/>
      <c r="N42" s="200"/>
      <c r="O42" s="218"/>
      <c r="P42" s="200" t="s">
        <v>1737</v>
      </c>
      <c r="Q42" s="201">
        <v>44970</v>
      </c>
      <c r="R42" s="201">
        <v>44974</v>
      </c>
      <c r="S42" s="200"/>
      <c r="T42" s="202">
        <v>5</v>
      </c>
      <c r="U42" s="202">
        <v>4</v>
      </c>
      <c r="V42" s="202">
        <v>5</v>
      </c>
      <c r="W42" s="202">
        <v>4</v>
      </c>
      <c r="X42" s="201">
        <v>44970</v>
      </c>
      <c r="Y42" s="201"/>
      <c r="Z42" s="203">
        <v>-32117</v>
      </c>
      <c r="AA42" s="204">
        <v>0</v>
      </c>
      <c r="AB42" s="202">
        <v>1</v>
      </c>
      <c r="AC42" s="200" t="s">
        <v>254</v>
      </c>
      <c r="AD42" s="205"/>
      <c r="AE42" s="206">
        <v>0.8</v>
      </c>
      <c r="AF42" s="214">
        <v>0</v>
      </c>
      <c r="AG42" s="221"/>
      <c r="AH42" s="222"/>
      <c r="AI42" s="222"/>
      <c r="AJ42" s="222"/>
      <c r="AK42" s="222"/>
      <c r="AL42" s="222"/>
      <c r="AM42" s="222"/>
      <c r="AN42" s="222"/>
      <c r="AO42" s="222"/>
      <c r="AP42" s="222"/>
      <c r="AQ42" s="222"/>
      <c r="AR42" s="222"/>
      <c r="AS42" s="222"/>
      <c r="AT42" s="222"/>
      <c r="AU42" s="222"/>
      <c r="AV42" s="222"/>
      <c r="AW42" s="222"/>
      <c r="AX42" s="222"/>
      <c r="AY42" s="222"/>
      <c r="AZ42" s="222"/>
      <c r="BA42" s="222" t="str">
        <f>" " &amp; TEXT(AF42,"#0.00%") &amp; " " &amp; "Biz. Meta 용어사전 검토 및 보완" &amp; "(데이터거버넌스팀, 한정은, 최유민)" &amp; " " &amp; IF(Q42="","",TEXT(Q42,"M/D-")) &amp; IF(R42="","",TEXT(R42,"M/D")) &amp; " "</f>
        <v xml:space="preserve"> 0.00% Biz. Meta 용어사전 검토 및 보완(데이터거버넌스팀, 한정은, 최유민) 2/13-2/17 </v>
      </c>
      <c r="BB42" s="222"/>
      <c r="BC42" s="222"/>
    </row>
    <row r="43" spans="1:55" ht="12.75" customHeight="1" outlineLevel="2">
      <c r="A43" s="199"/>
      <c r="B43" s="199" t="s">
        <v>210</v>
      </c>
      <c r="C43" s="199">
        <v>3</v>
      </c>
      <c r="D43" s="208" t="s">
        <v>308</v>
      </c>
      <c r="E43" s="200"/>
      <c r="F43" s="200"/>
      <c r="G43" s="200" t="s">
        <v>309</v>
      </c>
      <c r="H43" s="200"/>
      <c r="I43" s="200"/>
      <c r="J43" s="200"/>
      <c r="K43" s="200"/>
      <c r="L43" s="200"/>
      <c r="M43" s="200"/>
      <c r="N43" s="200"/>
      <c r="O43" s="218"/>
      <c r="P43" s="200"/>
      <c r="Q43" s="201">
        <v>44977</v>
      </c>
      <c r="R43" s="201">
        <v>44978</v>
      </c>
      <c r="S43" s="200"/>
      <c r="T43" s="202">
        <v>2</v>
      </c>
      <c r="U43" s="202">
        <v>0</v>
      </c>
      <c r="V43" s="202">
        <v>2</v>
      </c>
      <c r="W43" s="202">
        <v>0</v>
      </c>
      <c r="X43" s="201"/>
      <c r="Y43" s="201"/>
      <c r="Z43" s="203">
        <v>0</v>
      </c>
      <c r="AA43" s="204">
        <v>0</v>
      </c>
      <c r="AB43" s="202"/>
      <c r="AC43" s="200" t="s">
        <v>283</v>
      </c>
      <c r="AD43" s="205"/>
      <c r="AE43" s="206">
        <v>0</v>
      </c>
      <c r="AF43" s="211">
        <v>0</v>
      </c>
      <c r="AG43" s="221"/>
      <c r="AH43" s="222"/>
      <c r="AI43" s="222"/>
      <c r="AJ43" s="222"/>
      <c r="AK43" s="222"/>
      <c r="AL43" s="222"/>
      <c r="AM43" s="222"/>
      <c r="AN43" s="222"/>
      <c r="AO43" s="222"/>
      <c r="AP43" s="222"/>
      <c r="AQ43" s="222"/>
      <c r="AR43" s="222"/>
      <c r="AS43" s="222"/>
      <c r="AT43" s="222"/>
      <c r="AU43" s="222"/>
      <c r="AV43" s="222"/>
      <c r="AW43" s="222"/>
      <c r="AX43" s="222"/>
      <c r="AY43" s="222"/>
      <c r="AZ43" s="222"/>
      <c r="BA43" s="222"/>
      <c r="BB43" s="222" t="str">
        <f>" " &amp; TEXT(AF43,"#0.00%") &amp; " " &amp; "Biz. Meta 적재" &amp; "(박지호)" &amp; " " &amp; IF(Q43="","",TEXT(Q43,"M/D-")) &amp; IF(R43="","",TEXT(R43,"M/D")) &amp; " "</f>
        <v xml:space="preserve"> 0.00% Biz. Meta 적재(박지호) 2/20-2/21 </v>
      </c>
      <c r="BC43" s="222"/>
    </row>
    <row r="44" spans="1:55" ht="12.75" customHeight="1" outlineLevel="3">
      <c r="A44" s="199"/>
      <c r="B44" s="199"/>
      <c r="C44" s="199">
        <v>4</v>
      </c>
      <c r="D44" s="208" t="s">
        <v>310</v>
      </c>
      <c r="E44" s="200"/>
      <c r="F44" s="200"/>
      <c r="G44" s="200"/>
      <c r="H44" s="200" t="s">
        <v>309</v>
      </c>
      <c r="I44" s="200"/>
      <c r="J44" s="200"/>
      <c r="K44" s="200"/>
      <c r="L44" s="200"/>
      <c r="M44" s="200"/>
      <c r="N44" s="200"/>
      <c r="O44" s="218"/>
      <c r="P44" s="200"/>
      <c r="Q44" s="201">
        <v>44977</v>
      </c>
      <c r="R44" s="201">
        <v>44978</v>
      </c>
      <c r="S44" s="200"/>
      <c r="T44" s="202">
        <v>2</v>
      </c>
      <c r="U44" s="202">
        <v>0</v>
      </c>
      <c r="V44" s="202">
        <v>2</v>
      </c>
      <c r="W44" s="202">
        <v>0</v>
      </c>
      <c r="X44" s="201"/>
      <c r="Y44" s="201"/>
      <c r="Z44" s="203"/>
      <c r="AA44" s="204">
        <v>0</v>
      </c>
      <c r="AB44" s="202">
        <v>1</v>
      </c>
      <c r="AC44" s="200" t="s">
        <v>283</v>
      </c>
      <c r="AD44" s="212" t="s">
        <v>311</v>
      </c>
      <c r="AE44" s="206">
        <v>0</v>
      </c>
      <c r="AF44" s="207">
        <v>0</v>
      </c>
      <c r="AG44" s="221"/>
      <c r="AH44" s="222"/>
      <c r="AI44" s="222"/>
      <c r="AJ44" s="222"/>
      <c r="AK44" s="222"/>
      <c r="AL44" s="222"/>
      <c r="AM44" s="222"/>
      <c r="AN44" s="222"/>
      <c r="AO44" s="222"/>
      <c r="AP44" s="222"/>
      <c r="AQ44" s="222"/>
      <c r="AR44" s="222"/>
      <c r="AS44" s="222"/>
      <c r="AT44" s="222"/>
      <c r="AU44" s="222"/>
      <c r="AV44" s="222"/>
      <c r="AW44" s="222"/>
      <c r="AX44" s="222"/>
      <c r="AY44" s="222"/>
      <c r="AZ44" s="222"/>
      <c r="BA44" s="222"/>
      <c r="BB44" s="222" t="str">
        <f>" " &amp; TEXT(AF44,"#0.00%") &amp; " " &amp; "Biz. Meta 적재" &amp; "(박지호)" &amp; " " &amp; IF(Q44="","",TEXT(Q44,"M/D-")) &amp; IF(R44="","",TEXT(R44,"M/D")) &amp; " "</f>
        <v xml:space="preserve"> 0.00% Biz. Meta 적재(박지호) 2/20-2/21 </v>
      </c>
      <c r="BC44" s="222"/>
    </row>
    <row r="45" spans="1:55" ht="12.75" customHeight="1" outlineLevel="1">
      <c r="A45" s="199"/>
      <c r="B45" s="199" t="s">
        <v>210</v>
      </c>
      <c r="C45" s="199">
        <v>2</v>
      </c>
      <c r="D45" s="208" t="s">
        <v>312</v>
      </c>
      <c r="E45" s="200"/>
      <c r="F45" s="200" t="s">
        <v>313</v>
      </c>
      <c r="G45" s="200"/>
      <c r="H45" s="200"/>
      <c r="I45" s="200"/>
      <c r="J45" s="200"/>
      <c r="K45" s="200"/>
      <c r="L45" s="200"/>
      <c r="M45" s="200"/>
      <c r="N45" s="200"/>
      <c r="O45" s="218"/>
      <c r="P45" s="200"/>
      <c r="Q45" s="201">
        <v>44865</v>
      </c>
      <c r="R45" s="201">
        <v>44946</v>
      </c>
      <c r="S45" s="200"/>
      <c r="T45" s="202">
        <v>60</v>
      </c>
      <c r="U45" s="202">
        <v>60</v>
      </c>
      <c r="V45" s="202">
        <v>60</v>
      </c>
      <c r="W45" s="202">
        <v>60</v>
      </c>
      <c r="X45" s="201"/>
      <c r="Y45" s="201"/>
      <c r="Z45" s="203">
        <v>0</v>
      </c>
      <c r="AA45" s="204">
        <v>0</v>
      </c>
      <c r="AB45" s="202"/>
      <c r="AC45" s="200" t="s">
        <v>277</v>
      </c>
      <c r="AD45" s="205"/>
      <c r="AE45" s="206">
        <v>1</v>
      </c>
      <c r="AF45" s="215">
        <v>0</v>
      </c>
      <c r="AG45" s="221"/>
      <c r="AH45" s="222"/>
      <c r="AI45" s="222"/>
      <c r="AJ45" s="222"/>
      <c r="AK45" s="222"/>
      <c r="AL45" s="222" t="str">
        <f>" " &amp; TEXT(AF45,"#0.00%") &amp; " "</f>
        <v xml:space="preserve"> 0.00% </v>
      </c>
      <c r="AM45" s="222"/>
      <c r="AN45" s="222"/>
      <c r="AO45" s="222"/>
      <c r="AP45" s="222"/>
      <c r="AQ45" s="222"/>
      <c r="AR45" s="222"/>
      <c r="AS45" s="222"/>
      <c r="AT45" s="222"/>
      <c r="AU45" s="222"/>
      <c r="AV45" s="222"/>
      <c r="AW45" s="222" t="str">
        <f>"      " &amp; "Pilot 품질진단" &amp; "(데이터거버넌스팀, 박지호)" &amp; " " &amp; IF(Q45="","",TEXT(Q45,"M/D-")) &amp; IF(R45="","",TEXT(R45,"M/D")) &amp; " "</f>
        <v xml:space="preserve">      Pilot 품질진단(데이터거버넌스팀, 박지호) 10/31-1/20 </v>
      </c>
      <c r="AX45" s="222"/>
      <c r="AY45" s="222"/>
      <c r="AZ45" s="222"/>
      <c r="BA45" s="222"/>
      <c r="BB45" s="222"/>
      <c r="BC45" s="222"/>
    </row>
    <row r="46" spans="1:55" ht="12.75" customHeight="1" outlineLevel="2">
      <c r="A46" s="199"/>
      <c r="B46" s="199"/>
      <c r="C46" s="199">
        <v>3</v>
      </c>
      <c r="D46" s="208" t="s">
        <v>314</v>
      </c>
      <c r="E46" s="200"/>
      <c r="F46" s="200"/>
      <c r="G46" s="200" t="s">
        <v>315</v>
      </c>
      <c r="H46" s="200"/>
      <c r="I46" s="200"/>
      <c r="J46" s="200"/>
      <c r="K46" s="200"/>
      <c r="L46" s="200"/>
      <c r="M46" s="200"/>
      <c r="N46" s="200"/>
      <c r="O46" s="218"/>
      <c r="P46" s="200" t="s">
        <v>316</v>
      </c>
      <c r="Q46" s="201">
        <v>44865</v>
      </c>
      <c r="R46" s="201">
        <v>44869</v>
      </c>
      <c r="S46" s="200"/>
      <c r="T46" s="202">
        <v>5</v>
      </c>
      <c r="U46" s="202">
        <v>5</v>
      </c>
      <c r="V46" s="202">
        <v>5</v>
      </c>
      <c r="W46" s="202">
        <v>5</v>
      </c>
      <c r="X46" s="201">
        <v>44865</v>
      </c>
      <c r="Y46" s="201">
        <v>44869</v>
      </c>
      <c r="Z46" s="203">
        <v>5</v>
      </c>
      <c r="AA46" s="204">
        <v>5</v>
      </c>
      <c r="AB46" s="202">
        <v>1</v>
      </c>
      <c r="AC46" s="200" t="s">
        <v>283</v>
      </c>
      <c r="AD46" s="200" t="s">
        <v>317</v>
      </c>
      <c r="AE46" s="206">
        <v>1</v>
      </c>
      <c r="AF46" s="214">
        <v>0</v>
      </c>
      <c r="AG46" s="221"/>
      <c r="AH46" s="222"/>
      <c r="AI46" s="222"/>
      <c r="AJ46" s="222"/>
      <c r="AK46" s="222"/>
      <c r="AL46" s="222" t="str">
        <f>" " &amp; TEXT(AF46,"#0.00%") &amp; " " &amp; "품질진단 계획서 작성" &amp; "(박지호)" &amp; " " &amp; IF(Q46="","",TEXT(Q46,"M/D-")) &amp; IF(R46="","",TEXT(R46,"M/D")) &amp; " "</f>
        <v xml:space="preserve"> 0.00% 품질진단 계획서 작성(박지호) 10/31-11/4 </v>
      </c>
      <c r="AM46" s="222"/>
      <c r="AN46" s="222"/>
      <c r="AO46" s="222"/>
      <c r="AP46" s="222"/>
      <c r="AQ46" s="222"/>
      <c r="AR46" s="222"/>
      <c r="AS46" s="222"/>
      <c r="AT46" s="222"/>
      <c r="AU46" s="222"/>
      <c r="AV46" s="222"/>
      <c r="AW46" s="222"/>
      <c r="AX46" s="222"/>
      <c r="AY46" s="222"/>
      <c r="AZ46" s="222"/>
      <c r="BA46" s="222"/>
      <c r="BB46" s="222"/>
      <c r="BC46" s="222"/>
    </row>
    <row r="47" spans="1:55" ht="12.75" customHeight="1" outlineLevel="2">
      <c r="A47" s="199"/>
      <c r="B47" s="199"/>
      <c r="C47" s="199">
        <v>3</v>
      </c>
      <c r="D47" s="208" t="s">
        <v>318</v>
      </c>
      <c r="E47" s="200"/>
      <c r="F47" s="200"/>
      <c r="G47" s="200" t="s">
        <v>319</v>
      </c>
      <c r="H47" s="200"/>
      <c r="I47" s="200"/>
      <c r="J47" s="200"/>
      <c r="K47" s="200"/>
      <c r="L47" s="200"/>
      <c r="M47" s="200"/>
      <c r="N47" s="200"/>
      <c r="O47" s="218"/>
      <c r="P47" s="200"/>
      <c r="Q47" s="201">
        <v>44872</v>
      </c>
      <c r="R47" s="201">
        <v>44890</v>
      </c>
      <c r="S47" s="200"/>
      <c r="T47" s="202">
        <v>15</v>
      </c>
      <c r="U47" s="202">
        <v>15</v>
      </c>
      <c r="V47" s="202">
        <v>15</v>
      </c>
      <c r="W47" s="202">
        <v>15</v>
      </c>
      <c r="X47" s="201">
        <v>44872</v>
      </c>
      <c r="Y47" s="201">
        <v>44895</v>
      </c>
      <c r="Z47" s="203">
        <v>18</v>
      </c>
      <c r="AA47" s="204">
        <v>18</v>
      </c>
      <c r="AB47" s="202">
        <v>1</v>
      </c>
      <c r="AC47" s="200" t="s">
        <v>283</v>
      </c>
      <c r="AD47" s="205"/>
      <c r="AE47" s="206">
        <v>1</v>
      </c>
      <c r="AF47" s="214">
        <v>0</v>
      </c>
      <c r="AG47" s="221"/>
      <c r="AH47" s="222"/>
      <c r="AI47" s="222"/>
      <c r="AJ47" s="222"/>
      <c r="AK47" s="222"/>
      <c r="AL47" s="222"/>
      <c r="AM47" s="222" t="str">
        <f>" " &amp; TEXT(AF47,"#0.00%") &amp; " " &amp; "품질진단 규칙 정의" &amp; "(박지호)" &amp; " " &amp; IF(Q47="","",TEXT(Q47,"M/D-")) &amp; IF(R47="","",TEXT(R47,"M/D")) &amp; " "</f>
        <v xml:space="preserve"> 0.00% 품질진단 규칙 정의(박지호) 11/7-11/25 </v>
      </c>
      <c r="AN47" s="222"/>
      <c r="AO47" s="222"/>
      <c r="AP47" s="222"/>
      <c r="AQ47" s="222"/>
      <c r="AR47" s="222"/>
      <c r="AS47" s="222"/>
      <c r="AT47" s="222"/>
      <c r="AU47" s="222"/>
      <c r="AV47" s="222"/>
      <c r="AW47" s="222"/>
      <c r="AX47" s="222"/>
      <c r="AY47" s="222"/>
      <c r="AZ47" s="222"/>
      <c r="BA47" s="222"/>
      <c r="BB47" s="222"/>
      <c r="BC47" s="222"/>
    </row>
    <row r="48" spans="1:55" ht="12.75" customHeight="1" outlineLevel="2">
      <c r="A48" s="199"/>
      <c r="B48" s="199"/>
      <c r="C48" s="199">
        <v>3</v>
      </c>
      <c r="D48" s="208" t="s">
        <v>320</v>
      </c>
      <c r="E48" s="200"/>
      <c r="F48" s="200"/>
      <c r="G48" s="200" t="s">
        <v>321</v>
      </c>
      <c r="H48" s="200"/>
      <c r="I48" s="200"/>
      <c r="J48" s="200"/>
      <c r="K48" s="200"/>
      <c r="L48" s="200"/>
      <c r="M48" s="200"/>
      <c r="N48" s="200"/>
      <c r="O48" s="218"/>
      <c r="P48" s="200"/>
      <c r="Q48" s="201">
        <v>44893</v>
      </c>
      <c r="R48" s="201">
        <v>44904</v>
      </c>
      <c r="S48" s="200"/>
      <c r="T48" s="202">
        <v>10</v>
      </c>
      <c r="U48" s="202">
        <v>10</v>
      </c>
      <c r="V48" s="202">
        <v>10</v>
      </c>
      <c r="W48" s="202">
        <v>10</v>
      </c>
      <c r="X48" s="201">
        <v>44896</v>
      </c>
      <c r="Y48" s="201">
        <v>44904</v>
      </c>
      <c r="Z48" s="203">
        <v>7</v>
      </c>
      <c r="AA48" s="204">
        <v>7</v>
      </c>
      <c r="AB48" s="202">
        <v>1</v>
      </c>
      <c r="AC48" s="200" t="s">
        <v>283</v>
      </c>
      <c r="AD48" s="205"/>
      <c r="AE48" s="206">
        <v>1</v>
      </c>
      <c r="AF48" s="214">
        <v>0</v>
      </c>
      <c r="AG48" s="221"/>
      <c r="AH48" s="222"/>
      <c r="AI48" s="222"/>
      <c r="AJ48" s="222"/>
      <c r="AK48" s="222"/>
      <c r="AL48" s="222"/>
      <c r="AM48" s="222"/>
      <c r="AN48" s="222"/>
      <c r="AO48" s="222"/>
      <c r="AP48" s="222" t="str">
        <f>" " &amp; TEXT(AF48,"#0.00%") &amp; " " &amp; "품질진단" &amp; "(박지호)" &amp; " " &amp; IF(Q48="","",TEXT(Q48,"M/D-")) &amp; IF(R48="","",TEXT(R48,"M/D")) &amp; " "</f>
        <v xml:space="preserve"> 0.00% 품질진단(박지호) 11/28-12/9 </v>
      </c>
      <c r="AQ48" s="222"/>
      <c r="AR48" s="222"/>
      <c r="AS48" s="222"/>
      <c r="AT48" s="222"/>
      <c r="AU48" s="222"/>
      <c r="AV48" s="222"/>
      <c r="AW48" s="222"/>
      <c r="AX48" s="222"/>
      <c r="AY48" s="222"/>
      <c r="AZ48" s="222"/>
      <c r="BA48" s="222"/>
      <c r="BB48" s="222"/>
      <c r="BC48" s="222"/>
    </row>
    <row r="49" spans="1:55" ht="12.75" customHeight="1" outlineLevel="2">
      <c r="A49" s="199"/>
      <c r="B49" s="199"/>
      <c r="C49" s="199">
        <v>3</v>
      </c>
      <c r="D49" s="208" t="s">
        <v>322</v>
      </c>
      <c r="E49" s="200"/>
      <c r="F49" s="200"/>
      <c r="G49" s="200" t="s">
        <v>323</v>
      </c>
      <c r="H49" s="200"/>
      <c r="I49" s="200"/>
      <c r="J49" s="200"/>
      <c r="K49" s="200"/>
      <c r="L49" s="200"/>
      <c r="M49" s="200"/>
      <c r="N49" s="200"/>
      <c r="O49" s="218"/>
      <c r="P49" s="200" t="s">
        <v>324</v>
      </c>
      <c r="Q49" s="201">
        <v>44907</v>
      </c>
      <c r="R49" s="201">
        <v>44918</v>
      </c>
      <c r="S49" s="200"/>
      <c r="T49" s="202">
        <v>10</v>
      </c>
      <c r="U49" s="202">
        <v>10</v>
      </c>
      <c r="V49" s="202">
        <v>10</v>
      </c>
      <c r="W49" s="202">
        <v>10</v>
      </c>
      <c r="X49" s="201">
        <v>44907</v>
      </c>
      <c r="Y49" s="201">
        <v>44918</v>
      </c>
      <c r="Z49" s="203">
        <v>10</v>
      </c>
      <c r="AA49" s="204">
        <v>10</v>
      </c>
      <c r="AB49" s="202">
        <v>1</v>
      </c>
      <c r="AC49" s="200" t="s">
        <v>247</v>
      </c>
      <c r="AD49" s="205"/>
      <c r="AE49" s="206">
        <v>1</v>
      </c>
      <c r="AF49" s="214">
        <v>0</v>
      </c>
      <c r="AG49" s="221"/>
      <c r="AH49" s="222"/>
      <c r="AI49" s="222"/>
      <c r="AJ49" s="222"/>
      <c r="AK49" s="222"/>
      <c r="AL49" s="222"/>
      <c r="AM49" s="222"/>
      <c r="AN49" s="222"/>
      <c r="AO49" s="222"/>
      <c r="AP49" s="222"/>
      <c r="AQ49" s="222"/>
      <c r="AR49" s="222" t="str">
        <f>" " &amp; TEXT(AF49,"#0.00%") &amp; " " &amp; "품질진단 오류판별" &amp; "(데이터거버넌스팀)" &amp; " " &amp; IF(Q49="","",TEXT(Q49,"M/D-")) &amp; IF(R49="","",TEXT(R49,"M/D")) &amp; " "</f>
        <v xml:space="preserve"> 0.00% 품질진단 오류판별(데이터거버넌스팀) 12/12-12/23 </v>
      </c>
      <c r="AS49" s="222"/>
      <c r="AT49" s="222"/>
      <c r="AU49" s="222"/>
      <c r="AV49" s="222"/>
      <c r="AW49" s="222"/>
      <c r="AX49" s="222"/>
      <c r="AY49" s="222"/>
      <c r="AZ49" s="222"/>
      <c r="BA49" s="222"/>
      <c r="BB49" s="222"/>
      <c r="BC49" s="222"/>
    </row>
    <row r="50" spans="1:55" ht="12.75" customHeight="1" outlineLevel="2">
      <c r="A50" s="199"/>
      <c r="B50" s="199"/>
      <c r="C50" s="199">
        <v>3</v>
      </c>
      <c r="D50" s="208" t="s">
        <v>325</v>
      </c>
      <c r="E50" s="200"/>
      <c r="F50" s="200"/>
      <c r="G50" s="200" t="s">
        <v>326</v>
      </c>
      <c r="H50" s="200"/>
      <c r="I50" s="200"/>
      <c r="J50" s="200"/>
      <c r="K50" s="200"/>
      <c r="L50" s="200"/>
      <c r="M50" s="200"/>
      <c r="N50" s="200"/>
      <c r="O50" s="218"/>
      <c r="P50" s="200"/>
      <c r="Q50" s="201">
        <v>44921</v>
      </c>
      <c r="R50" s="201">
        <v>44932</v>
      </c>
      <c r="S50" s="200"/>
      <c r="T50" s="202">
        <v>10</v>
      </c>
      <c r="U50" s="202">
        <v>10</v>
      </c>
      <c r="V50" s="202">
        <v>10</v>
      </c>
      <c r="W50" s="202">
        <v>10</v>
      </c>
      <c r="X50" s="201">
        <v>44921</v>
      </c>
      <c r="Y50" s="201">
        <v>44932</v>
      </c>
      <c r="Z50" s="203">
        <v>10</v>
      </c>
      <c r="AA50" s="204">
        <v>10</v>
      </c>
      <c r="AB50" s="202">
        <v>1</v>
      </c>
      <c r="AC50" s="200" t="s">
        <v>283</v>
      </c>
      <c r="AD50" s="205"/>
      <c r="AE50" s="206">
        <v>1</v>
      </c>
      <c r="AF50" s="214">
        <v>0</v>
      </c>
      <c r="AG50" s="221"/>
      <c r="AH50" s="222"/>
      <c r="AI50" s="222"/>
      <c r="AJ50" s="222"/>
      <c r="AK50" s="222"/>
      <c r="AL50" s="222"/>
      <c r="AM50" s="222"/>
      <c r="AN50" s="222"/>
      <c r="AO50" s="222"/>
      <c r="AP50" s="222"/>
      <c r="AQ50" s="222"/>
      <c r="AR50" s="222"/>
      <c r="AS50" s="222"/>
      <c r="AT50" s="222" t="str">
        <f>" " &amp; TEXT(AF50,"#0.00%") &amp; " " &amp; "품질진단 규칙 재정의 및 재진단" &amp; "(박지호)" &amp; " " &amp; IF(Q50="","",TEXT(Q50,"M/D-")) &amp; IF(R50="","",TEXT(R50,"M/D")) &amp; " "</f>
        <v xml:space="preserve"> 0.00% 품질진단 규칙 재정의 및 재진단(박지호) 12/26-1/6 </v>
      </c>
      <c r="AU50" s="222"/>
      <c r="AV50" s="222"/>
      <c r="AW50" s="222"/>
      <c r="AX50" s="222"/>
      <c r="AY50" s="222"/>
      <c r="AZ50" s="222"/>
      <c r="BA50" s="222"/>
      <c r="BB50" s="222"/>
      <c r="BC50" s="222"/>
    </row>
    <row r="51" spans="1:55" ht="12.75" customHeight="1" outlineLevel="2">
      <c r="A51" s="199"/>
      <c r="B51" s="199"/>
      <c r="C51" s="199">
        <v>3</v>
      </c>
      <c r="D51" s="208" t="s">
        <v>327</v>
      </c>
      <c r="E51" s="200"/>
      <c r="F51" s="200"/>
      <c r="G51" s="200" t="s">
        <v>328</v>
      </c>
      <c r="H51" s="200"/>
      <c r="I51" s="200"/>
      <c r="J51" s="200"/>
      <c r="K51" s="200"/>
      <c r="L51" s="200"/>
      <c r="M51" s="200"/>
      <c r="N51" s="200"/>
      <c r="O51" s="218"/>
      <c r="P51" s="200"/>
      <c r="Q51" s="201">
        <v>44935</v>
      </c>
      <c r="R51" s="201">
        <v>44946</v>
      </c>
      <c r="S51" s="200"/>
      <c r="T51" s="202">
        <v>10</v>
      </c>
      <c r="U51" s="202">
        <v>10</v>
      </c>
      <c r="V51" s="202">
        <v>10</v>
      </c>
      <c r="W51" s="202">
        <v>10</v>
      </c>
      <c r="X51" s="201">
        <v>44935</v>
      </c>
      <c r="Y51" s="201">
        <v>44946</v>
      </c>
      <c r="Z51" s="203">
        <v>10</v>
      </c>
      <c r="AA51" s="204">
        <v>10</v>
      </c>
      <c r="AB51" s="202">
        <v>1</v>
      </c>
      <c r="AC51" s="200" t="s">
        <v>283</v>
      </c>
      <c r="AD51" s="205" t="s">
        <v>329</v>
      </c>
      <c r="AE51" s="206">
        <v>1</v>
      </c>
      <c r="AF51" s="214">
        <v>0</v>
      </c>
      <c r="AG51" s="221"/>
      <c r="AH51" s="222"/>
      <c r="AI51" s="222"/>
      <c r="AJ51" s="222"/>
      <c r="AK51" s="222"/>
      <c r="AL51" s="222"/>
      <c r="AM51" s="222"/>
      <c r="AN51" s="222"/>
      <c r="AO51" s="222"/>
      <c r="AP51" s="222"/>
      <c r="AQ51" s="222"/>
      <c r="AR51" s="222"/>
      <c r="AS51" s="222"/>
      <c r="AT51" s="222"/>
      <c r="AU51" s="222"/>
      <c r="AV51" s="222" t="str">
        <f>" " &amp; TEXT(AF51,"#0.00%") &amp; " " &amp; "품질진단 보고서 작성" &amp; "(박지호)" &amp; " " &amp; IF(Q51="","",TEXT(Q51,"M/D-")) &amp; IF(R51="","",TEXT(R51,"M/D")) &amp; " "</f>
        <v xml:space="preserve"> 0.00% 품질진단 보고서 작성(박지호) 1/9-1/20 </v>
      </c>
      <c r="AW51" s="222"/>
      <c r="AX51" s="222"/>
      <c r="AY51" s="222"/>
      <c r="AZ51" s="222"/>
      <c r="BA51" s="222"/>
      <c r="BB51" s="222"/>
      <c r="BC51" s="222"/>
    </row>
    <row r="52" spans="1:55" ht="12.75" customHeight="1" outlineLevel="1">
      <c r="A52" s="199"/>
      <c r="B52" s="199" t="s">
        <v>210</v>
      </c>
      <c r="C52" s="199">
        <v>2</v>
      </c>
      <c r="D52" s="208" t="s">
        <v>330</v>
      </c>
      <c r="E52" s="200"/>
      <c r="F52" s="200" t="s">
        <v>331</v>
      </c>
      <c r="G52" s="200"/>
      <c r="H52" s="200"/>
      <c r="I52" s="200"/>
      <c r="J52" s="200"/>
      <c r="K52" s="200"/>
      <c r="L52" s="200"/>
      <c r="M52" s="200"/>
      <c r="N52" s="200"/>
      <c r="O52" s="218"/>
      <c r="P52" s="200"/>
      <c r="Q52" s="201">
        <v>44900</v>
      </c>
      <c r="R52" s="201">
        <v>44960</v>
      </c>
      <c r="S52" s="200"/>
      <c r="T52" s="202">
        <v>64</v>
      </c>
      <c r="U52" s="202">
        <v>64</v>
      </c>
      <c r="V52" s="202">
        <v>43</v>
      </c>
      <c r="W52" s="202">
        <v>43</v>
      </c>
      <c r="X52" s="201"/>
      <c r="Y52" s="201"/>
      <c r="Z52" s="203">
        <v>0</v>
      </c>
      <c r="AA52" s="204">
        <v>0</v>
      </c>
      <c r="AB52" s="202"/>
      <c r="AC52" s="200" t="s">
        <v>1722</v>
      </c>
      <c r="AD52" s="205"/>
      <c r="AE52" s="206">
        <v>1</v>
      </c>
      <c r="AF52" s="215">
        <v>0</v>
      </c>
      <c r="AG52" s="221"/>
      <c r="AH52" s="222"/>
      <c r="AI52" s="222"/>
      <c r="AJ52" s="222"/>
      <c r="AK52" s="222"/>
      <c r="AL52" s="222"/>
      <c r="AM52" s="222"/>
      <c r="AN52" s="222"/>
      <c r="AO52" s="222"/>
      <c r="AP52" s="222"/>
      <c r="AQ52" s="222" t="str">
        <f>" " &amp; TEXT(AF52,"#0.00%") &amp; " "</f>
        <v xml:space="preserve"> 0.00% </v>
      </c>
      <c r="AR52" s="222"/>
      <c r="AS52" s="222"/>
      <c r="AT52" s="222"/>
      <c r="AU52" s="222"/>
      <c r="AV52" s="222"/>
      <c r="AW52" s="222"/>
      <c r="AX52" s="222"/>
      <c r="AY52" s="222" t="str">
        <f>"      " &amp; "데이터 관리체계 수립" &amp; "(김장규)" &amp; " " &amp; IF(Q52="","",TEXT(Q52,"M/D-")) &amp; IF(R52="","",TEXT(R52,"M/D")) &amp; " "</f>
        <v xml:space="preserve">      데이터 관리체계 수립(김장규) 12/5-2/3 </v>
      </c>
      <c r="AZ52" s="222"/>
      <c r="BA52" s="222"/>
      <c r="BB52" s="222"/>
      <c r="BC52" s="222"/>
    </row>
    <row r="53" spans="1:55" ht="12.75" customHeight="1" outlineLevel="2">
      <c r="A53" s="199"/>
      <c r="B53" s="199"/>
      <c r="C53" s="199">
        <v>3</v>
      </c>
      <c r="D53" s="208" t="s">
        <v>333</v>
      </c>
      <c r="E53" s="200"/>
      <c r="F53" s="200"/>
      <c r="G53" s="200" t="s">
        <v>1703</v>
      </c>
      <c r="H53" s="200"/>
      <c r="I53" s="200"/>
      <c r="J53" s="200"/>
      <c r="K53" s="200"/>
      <c r="L53" s="200"/>
      <c r="M53" s="200"/>
      <c r="N53" s="200"/>
      <c r="O53" s="218"/>
      <c r="P53" s="200"/>
      <c r="Q53" s="201">
        <v>44900</v>
      </c>
      <c r="R53" s="201">
        <v>44918</v>
      </c>
      <c r="S53" s="200"/>
      <c r="T53" s="202">
        <v>15</v>
      </c>
      <c r="U53" s="202">
        <v>15</v>
      </c>
      <c r="V53" s="202">
        <v>15</v>
      </c>
      <c r="W53" s="202">
        <v>15</v>
      </c>
      <c r="X53" s="201">
        <v>44900</v>
      </c>
      <c r="Y53" s="201">
        <v>44918</v>
      </c>
      <c r="Z53" s="203">
        <v>15</v>
      </c>
      <c r="AA53" s="204">
        <v>15</v>
      </c>
      <c r="AB53" s="202">
        <v>1</v>
      </c>
      <c r="AC53" s="200" t="s">
        <v>1722</v>
      </c>
      <c r="AD53" s="205"/>
      <c r="AE53" s="206">
        <v>1</v>
      </c>
      <c r="AF53" s="214">
        <v>0</v>
      </c>
      <c r="AG53" s="221"/>
      <c r="AH53" s="222"/>
      <c r="AI53" s="222"/>
      <c r="AJ53" s="222"/>
      <c r="AK53" s="222"/>
      <c r="AL53" s="222"/>
      <c r="AM53" s="222"/>
      <c r="AN53" s="222"/>
      <c r="AO53" s="222"/>
      <c r="AP53" s="222"/>
      <c r="AQ53" s="222" t="str">
        <f>" " &amp; TEXT(AF53,"#0.00%") &amp; " " &amp; "고객사 환경에 맞는 관리체계 Tailoring" &amp; "(김장규)" &amp; " " &amp; IF(Q53="","",TEXT(Q53,"M/D-")) &amp; IF(R53="","",TEXT(R53,"M/D")) &amp; " "</f>
        <v xml:space="preserve"> 0.00% 고객사 환경에 맞는 관리체계 Tailoring(김장규) 12/5-12/23 </v>
      </c>
      <c r="AR53" s="222"/>
      <c r="AS53" s="222"/>
      <c r="AT53" s="222"/>
      <c r="AU53" s="222"/>
      <c r="AV53" s="222"/>
      <c r="AW53" s="222"/>
      <c r="AX53" s="222"/>
      <c r="AY53" s="222"/>
      <c r="AZ53" s="222"/>
      <c r="BA53" s="222"/>
      <c r="BB53" s="222"/>
      <c r="BC53" s="222"/>
    </row>
    <row r="54" spans="1:55" ht="12.75" customHeight="1" outlineLevel="2">
      <c r="A54" s="199"/>
      <c r="B54" s="199" t="s">
        <v>210</v>
      </c>
      <c r="C54" s="199">
        <v>3</v>
      </c>
      <c r="D54" s="208" t="s">
        <v>335</v>
      </c>
      <c r="E54" s="200"/>
      <c r="F54" s="200"/>
      <c r="G54" s="200" t="s">
        <v>331</v>
      </c>
      <c r="H54" s="200"/>
      <c r="I54" s="200"/>
      <c r="J54" s="200"/>
      <c r="K54" s="200"/>
      <c r="L54" s="200"/>
      <c r="M54" s="200"/>
      <c r="N54" s="200"/>
      <c r="O54" s="218"/>
      <c r="P54" s="200"/>
      <c r="Q54" s="201">
        <v>44921</v>
      </c>
      <c r="R54" s="201">
        <v>44946</v>
      </c>
      <c r="S54" s="200"/>
      <c r="T54" s="202">
        <v>41</v>
      </c>
      <c r="U54" s="202">
        <v>41</v>
      </c>
      <c r="V54" s="202">
        <v>20</v>
      </c>
      <c r="W54" s="202">
        <v>20</v>
      </c>
      <c r="X54" s="201"/>
      <c r="Y54" s="201"/>
      <c r="Z54" s="203">
        <v>0</v>
      </c>
      <c r="AA54" s="204">
        <v>0</v>
      </c>
      <c r="AB54" s="202"/>
      <c r="AC54" s="200" t="s">
        <v>1722</v>
      </c>
      <c r="AD54" s="205" t="s">
        <v>338</v>
      </c>
      <c r="AE54" s="206">
        <v>1</v>
      </c>
      <c r="AF54" s="215">
        <v>0</v>
      </c>
      <c r="AG54" s="221"/>
      <c r="AH54" s="222"/>
      <c r="AI54" s="222"/>
      <c r="AJ54" s="222"/>
      <c r="AK54" s="222"/>
      <c r="AL54" s="222"/>
      <c r="AM54" s="222"/>
      <c r="AN54" s="222"/>
      <c r="AO54" s="222"/>
      <c r="AP54" s="222"/>
      <c r="AQ54" s="222"/>
      <c r="AR54" s="222"/>
      <c r="AS54" s="222"/>
      <c r="AT54" s="222" t="str">
        <f>" " &amp; TEXT(AF54,"#0.00%") &amp; " "</f>
        <v xml:space="preserve"> 0.00% </v>
      </c>
      <c r="AU54" s="222"/>
      <c r="AV54" s="222"/>
      <c r="AW54" s="222" t="str">
        <f>"      " &amp; "데이터 관리체계 수립" &amp; "(김장규)" &amp; " " &amp; IF(Q54="","",TEXT(Q54,"M/D-")) &amp; IF(R54="","",TEXT(R54,"M/D")) &amp; " "</f>
        <v xml:space="preserve">      데이터 관리체계 수립(김장규) 12/26-1/20 </v>
      </c>
      <c r="AX54" s="222"/>
      <c r="AY54" s="222"/>
      <c r="AZ54" s="222"/>
      <c r="BA54" s="222"/>
      <c r="BB54" s="222"/>
      <c r="BC54" s="222"/>
    </row>
    <row r="55" spans="1:55" ht="12.75" customHeight="1" outlineLevel="3">
      <c r="A55" s="199"/>
      <c r="B55" s="199"/>
      <c r="C55" s="199">
        <v>4</v>
      </c>
      <c r="D55" s="208" t="s">
        <v>1717</v>
      </c>
      <c r="E55" s="200"/>
      <c r="F55" s="200"/>
      <c r="G55" s="200"/>
      <c r="H55" s="200" t="s">
        <v>1713</v>
      </c>
      <c r="I55" s="200"/>
      <c r="J55" s="200"/>
      <c r="K55" s="200"/>
      <c r="L55" s="200"/>
      <c r="M55" s="200"/>
      <c r="N55" s="200"/>
      <c r="O55" s="218"/>
      <c r="P55" s="150" t="s">
        <v>1723</v>
      </c>
      <c r="Q55" s="201">
        <v>44921</v>
      </c>
      <c r="R55" s="201">
        <v>44932</v>
      </c>
      <c r="S55" s="200"/>
      <c r="T55" s="202">
        <v>10</v>
      </c>
      <c r="U55" s="202">
        <v>10</v>
      </c>
      <c r="V55" s="202">
        <v>10</v>
      </c>
      <c r="W55" s="202">
        <v>10</v>
      </c>
      <c r="X55" s="201">
        <v>44921</v>
      </c>
      <c r="Y55" s="201">
        <v>44932</v>
      </c>
      <c r="Z55" s="203">
        <v>10</v>
      </c>
      <c r="AA55" s="204">
        <v>10</v>
      </c>
      <c r="AB55" s="202">
        <v>1</v>
      </c>
      <c r="AC55" s="200" t="s">
        <v>1722</v>
      </c>
      <c r="AD55" s="205"/>
      <c r="AE55" s="206">
        <v>1</v>
      </c>
      <c r="AF55" s="214">
        <v>0</v>
      </c>
      <c r="AG55" s="221"/>
      <c r="AH55" s="222"/>
      <c r="AI55" s="222"/>
      <c r="AJ55" s="222"/>
      <c r="AK55" s="222"/>
      <c r="AL55" s="222"/>
      <c r="AM55" s="222"/>
      <c r="AN55" s="222"/>
      <c r="AO55" s="222"/>
      <c r="AP55" s="222"/>
      <c r="AQ55" s="222"/>
      <c r="AR55" s="222"/>
      <c r="AS55" s="222"/>
      <c r="AT55" s="222" t="str">
        <f>" " &amp; TEXT(AF55,"#0.00%") &amp; " " &amp; "총괄 원칙 및 관리영역 정의" &amp; "(김장규)" &amp; " " &amp; IF(Q55="","",TEXT(Q55,"M/D-")) &amp; IF(R55="","",TEXT(R55,"M/D")) &amp; " "</f>
        <v xml:space="preserve"> 0.00% 총괄 원칙 및 관리영역 정의(김장규) 12/26-1/6 </v>
      </c>
      <c r="AU55" s="222"/>
      <c r="AV55" s="222"/>
      <c r="AW55" s="222"/>
      <c r="AX55" s="222"/>
      <c r="AY55" s="222"/>
      <c r="AZ55" s="222"/>
      <c r="BA55" s="222"/>
      <c r="BB55" s="222"/>
      <c r="BC55" s="222"/>
    </row>
    <row r="56" spans="1:55" ht="12.75" customHeight="1" outlineLevel="3">
      <c r="A56" s="199"/>
      <c r="B56" s="199"/>
      <c r="C56" s="199">
        <v>4</v>
      </c>
      <c r="D56" s="208" t="s">
        <v>1718</v>
      </c>
      <c r="E56" s="200"/>
      <c r="F56" s="200"/>
      <c r="G56" s="200"/>
      <c r="H56" s="200" t="s">
        <v>1728</v>
      </c>
      <c r="I56" s="200"/>
      <c r="J56" s="200"/>
      <c r="K56" s="200"/>
      <c r="L56" s="200"/>
      <c r="M56" s="200"/>
      <c r="N56" s="200"/>
      <c r="O56" s="218"/>
      <c r="P56" s="150" t="s">
        <v>1727</v>
      </c>
      <c r="Q56" s="201">
        <v>44921</v>
      </c>
      <c r="R56" s="201">
        <v>44932</v>
      </c>
      <c r="S56" s="200"/>
      <c r="T56" s="202">
        <v>10</v>
      </c>
      <c r="U56" s="202">
        <v>10</v>
      </c>
      <c r="V56" s="202">
        <v>10</v>
      </c>
      <c r="W56" s="202">
        <v>10</v>
      </c>
      <c r="X56" s="201">
        <v>44921</v>
      </c>
      <c r="Y56" s="201">
        <v>44932</v>
      </c>
      <c r="Z56" s="203">
        <v>10</v>
      </c>
      <c r="AA56" s="204">
        <v>10</v>
      </c>
      <c r="AB56" s="202">
        <v>1</v>
      </c>
      <c r="AC56" s="200" t="s">
        <v>1722</v>
      </c>
      <c r="AD56" s="205"/>
      <c r="AE56" s="206">
        <v>1</v>
      </c>
      <c r="AF56" s="214">
        <v>0</v>
      </c>
      <c r="AG56" s="221"/>
      <c r="AH56" s="222"/>
      <c r="AI56" s="222"/>
      <c r="AJ56" s="222"/>
      <c r="AK56" s="222"/>
      <c r="AL56" s="222"/>
      <c r="AM56" s="222"/>
      <c r="AN56" s="222"/>
      <c r="AO56" s="222"/>
      <c r="AP56" s="222"/>
      <c r="AQ56" s="222"/>
      <c r="AR56" s="222"/>
      <c r="AS56" s="222"/>
      <c r="AT56" s="222" t="str">
        <f>" " &amp; TEXT(AF56,"#0.00%") &amp; " " &amp; "운영관리체계 I" &amp; "(김장규)" &amp; " " &amp; IF(Q56="","",TEXT(Q56,"M/D-")) &amp; IF(R56="","",TEXT(R56,"M/D")) &amp; " "</f>
        <v xml:space="preserve"> 0.00% 운영관리체계 I(김장규) 12/26-1/6 </v>
      </c>
      <c r="AU56" s="222"/>
      <c r="AV56" s="222"/>
      <c r="AW56" s="222"/>
      <c r="AX56" s="222"/>
      <c r="AY56" s="222"/>
      <c r="AZ56" s="222"/>
      <c r="BA56" s="222"/>
      <c r="BB56" s="222"/>
      <c r="BC56" s="222"/>
    </row>
    <row r="57" spans="1:55" ht="12.75" customHeight="1" outlineLevel="3">
      <c r="A57" s="199"/>
      <c r="B57" s="199"/>
      <c r="C57" s="199">
        <v>4</v>
      </c>
      <c r="D57" s="208" t="s">
        <v>1719</v>
      </c>
      <c r="E57" s="200"/>
      <c r="F57" s="200"/>
      <c r="G57" s="200"/>
      <c r="H57" s="200" t="s">
        <v>1729</v>
      </c>
      <c r="I57" s="200"/>
      <c r="J57" s="200"/>
      <c r="K57" s="200"/>
      <c r="L57" s="200"/>
      <c r="M57" s="200"/>
      <c r="N57" s="200"/>
      <c r="O57" s="218"/>
      <c r="P57" s="150" t="s">
        <v>1726</v>
      </c>
      <c r="Q57" s="201">
        <v>44935</v>
      </c>
      <c r="R57" s="201">
        <v>44946</v>
      </c>
      <c r="S57" s="200"/>
      <c r="T57" s="202">
        <v>10</v>
      </c>
      <c r="U57" s="202">
        <v>10</v>
      </c>
      <c r="V57" s="202">
        <v>10</v>
      </c>
      <c r="W57" s="202">
        <v>10</v>
      </c>
      <c r="X57" s="201">
        <v>44935</v>
      </c>
      <c r="Y57" s="201">
        <v>44946</v>
      </c>
      <c r="Z57" s="203">
        <v>10</v>
      </c>
      <c r="AA57" s="204">
        <v>10</v>
      </c>
      <c r="AB57" s="202">
        <v>1</v>
      </c>
      <c r="AC57" s="200" t="s">
        <v>1722</v>
      </c>
      <c r="AD57" s="205"/>
      <c r="AE57" s="206">
        <v>1</v>
      </c>
      <c r="AF57" s="214">
        <v>0</v>
      </c>
      <c r="AG57" s="221"/>
      <c r="AH57" s="222"/>
      <c r="AI57" s="222"/>
      <c r="AJ57" s="222"/>
      <c r="AK57" s="222"/>
      <c r="AL57" s="222"/>
      <c r="AM57" s="222"/>
      <c r="AN57" s="222"/>
      <c r="AO57" s="222"/>
      <c r="AP57" s="222"/>
      <c r="AQ57" s="222"/>
      <c r="AR57" s="222"/>
      <c r="AS57" s="222"/>
      <c r="AT57" s="222"/>
      <c r="AU57" s="222"/>
      <c r="AV57" s="222" t="str">
        <f>" " &amp; TEXT(AF57,"#0.00%") &amp; " " &amp; "운영관리체계 II" &amp; "(김장규)" &amp; " " &amp; IF(Q57="","",TEXT(Q57,"M/D-")) &amp; IF(R57="","",TEXT(R57,"M/D")) &amp; " "</f>
        <v xml:space="preserve"> 0.00% 운영관리체계 II(김장규) 1/9-1/20 </v>
      </c>
      <c r="AW57" s="222"/>
      <c r="AX57" s="222"/>
      <c r="AY57" s="222"/>
      <c r="AZ57" s="222"/>
      <c r="BA57" s="222"/>
      <c r="BB57" s="222"/>
      <c r="BC57" s="222"/>
    </row>
    <row r="58" spans="1:55" ht="12.75" customHeight="1" outlineLevel="3">
      <c r="A58" s="199"/>
      <c r="B58" s="199"/>
      <c r="C58" s="199">
        <v>4</v>
      </c>
      <c r="D58" s="208" t="s">
        <v>1720</v>
      </c>
      <c r="E58" s="200"/>
      <c r="F58" s="200"/>
      <c r="G58" s="200"/>
      <c r="H58" s="200" t="s">
        <v>1715</v>
      </c>
      <c r="I58" s="200"/>
      <c r="J58" s="200"/>
      <c r="K58" s="200"/>
      <c r="L58" s="200"/>
      <c r="M58" s="200"/>
      <c r="N58" s="200"/>
      <c r="O58" s="218"/>
      <c r="P58" s="150" t="s">
        <v>1724</v>
      </c>
      <c r="Q58" s="201">
        <v>44935</v>
      </c>
      <c r="R58" s="201">
        <v>44939</v>
      </c>
      <c r="S58" s="200"/>
      <c r="T58" s="202">
        <v>5</v>
      </c>
      <c r="U58" s="202">
        <v>5</v>
      </c>
      <c r="V58" s="202">
        <v>5</v>
      </c>
      <c r="W58" s="202">
        <v>5</v>
      </c>
      <c r="X58" s="201">
        <v>44935</v>
      </c>
      <c r="Y58" s="201">
        <v>44939</v>
      </c>
      <c r="Z58" s="203">
        <v>5</v>
      </c>
      <c r="AA58" s="204">
        <v>5</v>
      </c>
      <c r="AB58" s="202">
        <v>1</v>
      </c>
      <c r="AC58" s="200" t="s">
        <v>1722</v>
      </c>
      <c r="AD58" s="205"/>
      <c r="AE58" s="206">
        <v>1</v>
      </c>
      <c r="AF58" s="214">
        <v>0</v>
      </c>
      <c r="AG58" s="221"/>
      <c r="AH58" s="222"/>
      <c r="AI58" s="222"/>
      <c r="AJ58" s="222"/>
      <c r="AK58" s="222"/>
      <c r="AL58" s="222"/>
      <c r="AM58" s="222"/>
      <c r="AN58" s="222"/>
      <c r="AO58" s="222"/>
      <c r="AP58" s="222"/>
      <c r="AQ58" s="222"/>
      <c r="AR58" s="222"/>
      <c r="AS58" s="222"/>
      <c r="AT58" s="222"/>
      <c r="AU58" s="222"/>
      <c r="AV58" s="222" t="str">
        <f>" " &amp; TEXT(AF58,"#0.00%") &amp; " " &amp; "표준 관리체계 수립" &amp; "(김장규)" &amp; " " &amp; IF(Q58="","",TEXT(Q58,"M/D-")) &amp; IF(R58="","",TEXT(R58,"M/D")) &amp; " "</f>
        <v xml:space="preserve"> 0.00% 표준 관리체계 수립(김장규) 1/9-1/13 </v>
      </c>
      <c r="AW58" s="222"/>
      <c r="AX58" s="222"/>
      <c r="AY58" s="222"/>
      <c r="AZ58" s="222"/>
      <c r="BA58" s="222"/>
      <c r="BB58" s="222"/>
      <c r="BC58" s="222"/>
    </row>
    <row r="59" spans="1:55" ht="12.75" customHeight="1" outlineLevel="3">
      <c r="A59" s="199"/>
      <c r="B59" s="199"/>
      <c r="C59" s="199">
        <v>4</v>
      </c>
      <c r="D59" s="208" t="s">
        <v>1721</v>
      </c>
      <c r="E59" s="200"/>
      <c r="F59" s="200"/>
      <c r="G59" s="200"/>
      <c r="H59" s="200" t="s">
        <v>1716</v>
      </c>
      <c r="I59" s="200"/>
      <c r="J59" s="200"/>
      <c r="K59" s="200"/>
      <c r="L59" s="200"/>
      <c r="M59" s="200"/>
      <c r="N59" s="200"/>
      <c r="O59" s="218"/>
      <c r="P59" s="150" t="s">
        <v>1725</v>
      </c>
      <c r="Q59" s="201">
        <v>44939</v>
      </c>
      <c r="R59" s="201">
        <v>44946</v>
      </c>
      <c r="S59" s="200"/>
      <c r="T59" s="202">
        <v>6</v>
      </c>
      <c r="U59" s="202">
        <v>6</v>
      </c>
      <c r="V59" s="202">
        <v>6</v>
      </c>
      <c r="W59" s="202">
        <v>6</v>
      </c>
      <c r="X59" s="201">
        <v>44939</v>
      </c>
      <c r="Y59" s="201">
        <v>44946</v>
      </c>
      <c r="Z59" s="203">
        <v>6</v>
      </c>
      <c r="AA59" s="204">
        <v>6</v>
      </c>
      <c r="AB59" s="202">
        <v>1</v>
      </c>
      <c r="AC59" s="200" t="s">
        <v>1722</v>
      </c>
      <c r="AD59" s="205"/>
      <c r="AE59" s="206">
        <v>1</v>
      </c>
      <c r="AF59" s="214">
        <v>0</v>
      </c>
      <c r="AG59" s="221"/>
      <c r="AH59" s="222"/>
      <c r="AI59" s="222"/>
      <c r="AJ59" s="222"/>
      <c r="AK59" s="222"/>
      <c r="AL59" s="222"/>
      <c r="AM59" s="222"/>
      <c r="AN59" s="222"/>
      <c r="AO59" s="222"/>
      <c r="AP59" s="222"/>
      <c r="AQ59" s="222"/>
      <c r="AR59" s="222"/>
      <c r="AS59" s="222"/>
      <c r="AT59" s="222"/>
      <c r="AU59" s="222"/>
      <c r="AV59" s="222" t="str">
        <f>"     " &amp; TEXT(AF59,"#0.00%") &amp; " " &amp; "구조 및 값품질진단 관리체계 수립" &amp; "(김장규)" &amp; " " &amp; IF(Q59="","",TEXT(Q59,"M/D-")) &amp; IF(R59="","",TEXT(R59,"M/D")) &amp; " "</f>
        <v xml:space="preserve">     0.00% 구조 및 값품질진단 관리체계 수립(김장규) 1/13-1/20 </v>
      </c>
      <c r="AW59" s="222"/>
      <c r="AX59" s="222"/>
      <c r="AY59" s="222"/>
      <c r="AZ59" s="222"/>
      <c r="BA59" s="222"/>
      <c r="BB59" s="222"/>
      <c r="BC59" s="222"/>
    </row>
    <row r="60" spans="1:55" ht="12.75" customHeight="1" outlineLevel="2">
      <c r="A60" s="199"/>
      <c r="B60" s="199"/>
      <c r="C60" s="199">
        <v>3</v>
      </c>
      <c r="D60" s="208" t="s">
        <v>337</v>
      </c>
      <c r="E60" s="200"/>
      <c r="F60" s="200"/>
      <c r="G60" s="200" t="s">
        <v>340</v>
      </c>
      <c r="H60" s="200"/>
      <c r="I60" s="200"/>
      <c r="J60" s="200"/>
      <c r="K60" s="200"/>
      <c r="L60" s="200"/>
      <c r="M60" s="200"/>
      <c r="N60" s="200"/>
      <c r="O60" s="218"/>
      <c r="P60" s="150" t="s">
        <v>1714</v>
      </c>
      <c r="Q60" s="201">
        <v>44949</v>
      </c>
      <c r="R60" s="201">
        <v>44960</v>
      </c>
      <c r="S60" s="200"/>
      <c r="T60" s="202">
        <v>8</v>
      </c>
      <c r="U60" s="202">
        <v>8</v>
      </c>
      <c r="V60" s="202">
        <v>8</v>
      </c>
      <c r="W60" s="202">
        <v>8</v>
      </c>
      <c r="X60" s="201">
        <v>44949</v>
      </c>
      <c r="Y60" s="201">
        <v>44959</v>
      </c>
      <c r="Z60" s="203">
        <v>7</v>
      </c>
      <c r="AA60" s="204">
        <v>7</v>
      </c>
      <c r="AB60" s="202">
        <v>1</v>
      </c>
      <c r="AC60" s="200" t="s">
        <v>1722</v>
      </c>
      <c r="AD60" s="205" t="s">
        <v>341</v>
      </c>
      <c r="AE60" s="206">
        <v>1</v>
      </c>
      <c r="AF60" s="214">
        <v>0</v>
      </c>
      <c r="AG60" s="221"/>
      <c r="AH60" s="222"/>
      <c r="AI60" s="222"/>
      <c r="AJ60" s="222"/>
      <c r="AK60" s="222"/>
      <c r="AL60" s="222"/>
      <c r="AM60" s="222"/>
      <c r="AN60" s="222"/>
      <c r="AO60" s="222"/>
      <c r="AP60" s="222"/>
      <c r="AQ60" s="222"/>
      <c r="AR60" s="222"/>
      <c r="AS60" s="222"/>
      <c r="AT60" s="222"/>
      <c r="AU60" s="222"/>
      <c r="AV60" s="222"/>
      <c r="AW60" s="222"/>
      <c r="AX60" s="222" t="str">
        <f>" " &amp; TEXT(AF60,"#0.00%") &amp; " " &amp; "데이터 관리지침서 작성" &amp; "(김장규)" &amp; " " &amp; IF(Q60="","",TEXT(Q60,"M/D-")) &amp; IF(R60="","",TEXT(R60,"M/D")) &amp; " "</f>
        <v xml:space="preserve"> 0.00% 데이터 관리지침서 작성(김장규) 1/23-2/3 </v>
      </c>
      <c r="AY60" s="222"/>
      <c r="AZ60" s="222"/>
      <c r="BA60" s="222"/>
      <c r="BB60" s="222"/>
      <c r="BC60" s="222"/>
    </row>
    <row r="61" spans="1:55" ht="12.75" customHeight="1" outlineLevel="1">
      <c r="A61" s="199"/>
      <c r="B61" s="199" t="s">
        <v>210</v>
      </c>
      <c r="C61" s="199">
        <v>2</v>
      </c>
      <c r="D61" s="208" t="s">
        <v>342</v>
      </c>
      <c r="E61" s="200"/>
      <c r="F61" s="200" t="s">
        <v>343</v>
      </c>
      <c r="G61" s="200"/>
      <c r="H61" s="200"/>
      <c r="I61" s="200"/>
      <c r="J61" s="200"/>
      <c r="K61" s="200"/>
      <c r="L61" s="200"/>
      <c r="M61" s="200"/>
      <c r="N61" s="200"/>
      <c r="O61" s="218"/>
      <c r="P61" s="200"/>
      <c r="Q61" s="201">
        <v>44963</v>
      </c>
      <c r="R61" s="201">
        <v>44981</v>
      </c>
      <c r="S61" s="200"/>
      <c r="T61" s="202">
        <v>15</v>
      </c>
      <c r="U61" s="202">
        <v>9</v>
      </c>
      <c r="V61" s="202">
        <v>15</v>
      </c>
      <c r="W61" s="202">
        <v>9</v>
      </c>
      <c r="X61" s="201"/>
      <c r="Y61" s="201"/>
      <c r="Z61" s="203">
        <v>0</v>
      </c>
      <c r="AA61" s="204">
        <v>0</v>
      </c>
      <c r="AB61" s="202"/>
      <c r="AC61" s="200" t="s">
        <v>1722</v>
      </c>
      <c r="AD61" s="205"/>
      <c r="AE61" s="206">
        <v>0.6</v>
      </c>
      <c r="AF61" s="215">
        <v>0</v>
      </c>
      <c r="AG61" s="221"/>
      <c r="AH61" s="222"/>
      <c r="AI61" s="222"/>
      <c r="AJ61" s="222"/>
      <c r="AK61" s="222"/>
      <c r="AL61" s="222"/>
      <c r="AM61" s="222"/>
      <c r="AN61" s="222"/>
      <c r="AO61" s="222"/>
      <c r="AP61" s="222"/>
      <c r="AQ61" s="222"/>
      <c r="AR61" s="222"/>
      <c r="AS61" s="222"/>
      <c r="AT61" s="222"/>
      <c r="AU61" s="222"/>
      <c r="AV61" s="222"/>
      <c r="AW61" s="222"/>
      <c r="AX61" s="222"/>
      <c r="AY61" s="222"/>
      <c r="AZ61" s="222" t="str">
        <f>" " &amp; TEXT(AF61,"#0.00%") &amp; " " &amp; "데이터 사업추진 로드맵 수립" &amp; "(김장규)" &amp; " " &amp; IF(Q61="","",TEXT(Q61,"M/D-")) &amp; IF(R61="","",TEXT(R61,"M/D")) &amp; " "</f>
        <v xml:space="preserve"> 0.00% 데이터 사업추진 로드맵 수립(김장규) 2/6-2/24 </v>
      </c>
      <c r="BA61" s="222"/>
      <c r="BB61" s="222"/>
      <c r="BC61" s="222"/>
    </row>
    <row r="62" spans="1:55" ht="12.75" customHeight="1" outlineLevel="2">
      <c r="A62" s="199"/>
      <c r="B62" s="199"/>
      <c r="C62" s="199">
        <v>3</v>
      </c>
      <c r="D62" s="208" t="s">
        <v>344</v>
      </c>
      <c r="E62" s="200"/>
      <c r="F62" s="200"/>
      <c r="G62" s="200" t="s">
        <v>345</v>
      </c>
      <c r="H62" s="200"/>
      <c r="I62" s="200"/>
      <c r="J62" s="200"/>
      <c r="K62" s="200"/>
      <c r="L62" s="200"/>
      <c r="M62" s="200"/>
      <c r="N62" s="200"/>
      <c r="O62" s="218"/>
      <c r="P62" s="200"/>
      <c r="Q62" s="201">
        <v>44963</v>
      </c>
      <c r="R62" s="201">
        <v>44967</v>
      </c>
      <c r="S62" s="200"/>
      <c r="T62" s="202">
        <v>5</v>
      </c>
      <c r="U62" s="202">
        <v>5</v>
      </c>
      <c r="V62" s="202">
        <v>5</v>
      </c>
      <c r="W62" s="202">
        <v>5</v>
      </c>
      <c r="X62" s="201">
        <v>44963</v>
      </c>
      <c r="Y62" s="201">
        <v>44971</v>
      </c>
      <c r="Z62" s="203">
        <v>7</v>
      </c>
      <c r="AA62" s="204">
        <v>7</v>
      </c>
      <c r="AB62" s="202">
        <v>1</v>
      </c>
      <c r="AC62" s="200" t="s">
        <v>1722</v>
      </c>
      <c r="AD62" s="205"/>
      <c r="AE62" s="206">
        <v>1</v>
      </c>
      <c r="AF62" s="214">
        <v>0</v>
      </c>
      <c r="AG62" s="221"/>
      <c r="AH62" s="222"/>
      <c r="AI62" s="222"/>
      <c r="AJ62" s="222"/>
      <c r="AK62" s="222"/>
      <c r="AL62" s="222"/>
      <c r="AM62" s="222"/>
      <c r="AN62" s="222"/>
      <c r="AO62" s="222"/>
      <c r="AP62" s="222"/>
      <c r="AQ62" s="222"/>
      <c r="AR62" s="222"/>
      <c r="AS62" s="222"/>
      <c r="AT62" s="222"/>
      <c r="AU62" s="222"/>
      <c r="AV62" s="222"/>
      <c r="AW62" s="222"/>
      <c r="AX62" s="222"/>
      <c r="AY62" s="222"/>
      <c r="AZ62" s="222" t="str">
        <f>" " &amp; TEXT(AF62,"#0.00%") &amp; " " &amp; "수행 과제 정의" &amp; "(김장규)" &amp; " " &amp; IF(Q62="","",TEXT(Q62,"M/D-")) &amp; IF(R62="","",TEXT(R62,"M/D")) &amp; " "</f>
        <v xml:space="preserve"> 0.00% 수행 과제 정의(김장규) 2/6-2/10 </v>
      </c>
      <c r="BA62" s="222"/>
      <c r="BB62" s="222"/>
      <c r="BC62" s="222"/>
    </row>
    <row r="63" spans="1:55" ht="12.75" customHeight="1" outlineLevel="2">
      <c r="A63" s="199"/>
      <c r="B63" s="199"/>
      <c r="C63" s="199">
        <v>3</v>
      </c>
      <c r="D63" s="208" t="s">
        <v>346</v>
      </c>
      <c r="E63" s="200"/>
      <c r="F63" s="200"/>
      <c r="G63" s="200" t="s">
        <v>347</v>
      </c>
      <c r="H63" s="200"/>
      <c r="I63" s="200"/>
      <c r="J63" s="200"/>
      <c r="K63" s="200"/>
      <c r="L63" s="200"/>
      <c r="M63" s="200"/>
      <c r="N63" s="200"/>
      <c r="O63" s="218"/>
      <c r="P63" s="200"/>
      <c r="Q63" s="201">
        <v>44970</v>
      </c>
      <c r="R63" s="201">
        <v>44981</v>
      </c>
      <c r="S63" s="200"/>
      <c r="T63" s="202">
        <v>10</v>
      </c>
      <c r="U63" s="202">
        <v>4</v>
      </c>
      <c r="V63" s="202">
        <v>10</v>
      </c>
      <c r="W63" s="202">
        <v>4</v>
      </c>
      <c r="X63" s="201">
        <v>44970</v>
      </c>
      <c r="Y63" s="201"/>
      <c r="Z63" s="203">
        <v>-32117</v>
      </c>
      <c r="AA63" s="204">
        <v>0</v>
      </c>
      <c r="AB63" s="202">
        <v>1</v>
      </c>
      <c r="AC63" s="200" t="s">
        <v>1722</v>
      </c>
      <c r="AD63" s="205" t="s">
        <v>348</v>
      </c>
      <c r="AE63" s="206">
        <v>0.4</v>
      </c>
      <c r="AF63" s="214">
        <v>0</v>
      </c>
      <c r="AG63" s="221"/>
      <c r="AH63" s="222"/>
      <c r="AI63" s="222"/>
      <c r="AJ63" s="222"/>
      <c r="AK63" s="222"/>
      <c r="AL63" s="222"/>
      <c r="AM63" s="222"/>
      <c r="AN63" s="222"/>
      <c r="AO63" s="222"/>
      <c r="AP63" s="222"/>
      <c r="AQ63" s="222"/>
      <c r="AR63" s="222"/>
      <c r="AS63" s="222"/>
      <c r="AT63" s="222"/>
      <c r="AU63" s="222"/>
      <c r="AV63" s="222"/>
      <c r="AW63" s="222"/>
      <c r="AX63" s="222"/>
      <c r="AY63" s="222"/>
      <c r="AZ63" s="222"/>
      <c r="BA63" s="222" t="str">
        <f>" " &amp; TEXT(AF63,"#0.00%") &amp; " " &amp; "수행 계획 수립" &amp; "(김장규)" &amp; " " &amp; IF(Q63="","",TEXT(Q63,"M/D-")) &amp; IF(R63="","",TEXT(R63,"M/D")) &amp; " "</f>
        <v xml:space="preserve"> 0.00% 수행 계획 수립(김장규) 2/13-2/24 </v>
      </c>
      <c r="BB63" s="222"/>
      <c r="BC63" s="222"/>
    </row>
    <row r="64" spans="1:55" ht="12.75" customHeight="1">
      <c r="A64" s="199"/>
      <c r="B64" s="199" t="s">
        <v>210</v>
      </c>
      <c r="C64" s="199">
        <v>1</v>
      </c>
      <c r="D64" s="208" t="s">
        <v>349</v>
      </c>
      <c r="E64" s="200" t="s">
        <v>350</v>
      </c>
      <c r="F64" s="200"/>
      <c r="G64" s="200"/>
      <c r="H64" s="200"/>
      <c r="I64" s="200"/>
      <c r="J64" s="200"/>
      <c r="K64" s="200"/>
      <c r="L64" s="200"/>
      <c r="M64" s="200"/>
      <c r="N64" s="200"/>
      <c r="O64" s="218"/>
      <c r="P64" s="200" t="s">
        <v>351</v>
      </c>
      <c r="Q64" s="201">
        <v>44830</v>
      </c>
      <c r="R64" s="201">
        <v>44981</v>
      </c>
      <c r="S64" s="200"/>
      <c r="T64" s="202">
        <v>558</v>
      </c>
      <c r="U64" s="202">
        <v>537</v>
      </c>
      <c r="V64" s="202">
        <v>106</v>
      </c>
      <c r="W64" s="202">
        <v>100</v>
      </c>
      <c r="X64" s="201"/>
      <c r="Y64" s="201"/>
      <c r="Z64" s="203">
        <v>0</v>
      </c>
      <c r="AA64" s="204">
        <v>0</v>
      </c>
      <c r="AB64" s="202"/>
      <c r="AC64" s="150" t="s">
        <v>352</v>
      </c>
      <c r="AD64" s="205"/>
      <c r="AE64" s="206">
        <v>0.9623655913978495</v>
      </c>
      <c r="AF64" s="215">
        <v>0</v>
      </c>
      <c r="AG64" s="221" t="str">
        <f>" " &amp; TEXT(AF64,"#0.00%") &amp; " "</f>
        <v xml:space="preserve"> 0.00% </v>
      </c>
      <c r="AH64" s="222"/>
      <c r="AI64" s="222"/>
      <c r="AJ64" s="222"/>
      <c r="AK64" s="222"/>
      <c r="AL64" s="222"/>
      <c r="AM64" s="222"/>
      <c r="AN64" s="222"/>
      <c r="AO64" s="222"/>
      <c r="AP64" s="222"/>
      <c r="AQ64" s="222"/>
      <c r="AR64" s="222"/>
      <c r="AS64" s="222"/>
      <c r="AT64" s="222"/>
      <c r="AU64" s="222"/>
      <c r="AV64" s="222"/>
      <c r="AW64" s="222"/>
      <c r="AX64" s="222"/>
      <c r="AY64" s="222"/>
      <c r="AZ64" s="222"/>
      <c r="BA64" s="222"/>
      <c r="BB64" s="222" t="str">
        <f>"      " &amp; "솔루션 구축" &amp; "(솔루션 테크팀, 박지호,유진승, 강문영, 
UX(TBD),솔루션 R&amp;D팀)" &amp; " " &amp; IF(Q64="","",TEXT(Q64,"M/D-")) &amp; IF(R64="","",TEXT(R64,"M/D")) &amp; " "</f>
        <v xml:space="preserve">      솔루션 구축(솔루션 테크팀, 박지호,유진승, 강문영, 
UX(TBD),솔루션 R&amp;D팀) 9/26-2/24 </v>
      </c>
      <c r="BC64" s="222"/>
    </row>
    <row r="65" spans="1:55" ht="12.75" customHeight="1" outlineLevel="1">
      <c r="A65" s="199"/>
      <c r="B65" s="199" t="s">
        <v>210</v>
      </c>
      <c r="C65" s="199">
        <v>2</v>
      </c>
      <c r="D65" s="208" t="s">
        <v>353</v>
      </c>
      <c r="E65" s="200"/>
      <c r="F65" s="200" t="s">
        <v>354</v>
      </c>
      <c r="G65" s="200"/>
      <c r="H65" s="200"/>
      <c r="I65" s="200"/>
      <c r="J65" s="200"/>
      <c r="K65" s="200"/>
      <c r="L65" s="200"/>
      <c r="M65" s="200"/>
      <c r="N65" s="200"/>
      <c r="O65" s="218"/>
      <c r="P65" s="200"/>
      <c r="Q65" s="201">
        <v>44838</v>
      </c>
      <c r="R65" s="201">
        <v>44981</v>
      </c>
      <c r="S65" s="200"/>
      <c r="T65" s="202">
        <v>101</v>
      </c>
      <c r="U65" s="202">
        <v>95</v>
      </c>
      <c r="V65" s="202">
        <v>101</v>
      </c>
      <c r="W65" s="202">
        <v>95</v>
      </c>
      <c r="X65" s="201"/>
      <c r="Y65" s="201"/>
      <c r="Z65" s="203">
        <v>0</v>
      </c>
      <c r="AA65" s="204">
        <v>0</v>
      </c>
      <c r="AB65" s="202"/>
      <c r="AC65" s="200" t="s">
        <v>355</v>
      </c>
      <c r="AD65" s="205"/>
      <c r="AE65" s="206">
        <v>0.94059405940594054</v>
      </c>
      <c r="AF65" s="215">
        <v>0</v>
      </c>
      <c r="AG65" s="221"/>
      <c r="AH65" s="222" t="str">
        <f>"  " &amp; TEXT(AF65,"#0.00%") &amp; " "</f>
        <v xml:space="preserve">  0.00% </v>
      </c>
      <c r="AI65" s="222"/>
      <c r="AJ65" s="222"/>
      <c r="AK65" s="222"/>
      <c r="AL65" s="222"/>
      <c r="AM65" s="222"/>
      <c r="AN65" s="222"/>
      <c r="AO65" s="222"/>
      <c r="AP65" s="222"/>
      <c r="AQ65" s="222"/>
      <c r="AR65" s="222"/>
      <c r="AS65" s="222"/>
      <c r="AT65" s="222"/>
      <c r="AU65" s="222"/>
      <c r="AV65" s="222"/>
      <c r="AW65" s="222"/>
      <c r="AX65" s="222"/>
      <c r="AY65" s="222"/>
      <c r="AZ65" s="222"/>
      <c r="BA65" s="222"/>
      <c r="BB65" s="222" t="str">
        <f>"      " &amp; "솔루션 설치/안정화" &amp; "(솔루션 테크팀, 박지호)" &amp; " " &amp; IF(Q65="","",TEXT(Q65,"M/D-")) &amp; IF(R65="","",TEXT(R65,"M/D")) &amp; " "</f>
        <v xml:space="preserve">      솔루션 설치/안정화(솔루션 테크팀, 박지호) 10/4-2/24 </v>
      </c>
      <c r="BC65" s="222"/>
    </row>
    <row r="66" spans="1:55" ht="12.75" customHeight="1" outlineLevel="2">
      <c r="A66" s="199"/>
      <c r="B66" s="199"/>
      <c r="C66" s="199">
        <v>3</v>
      </c>
      <c r="D66" s="208" t="s">
        <v>356</v>
      </c>
      <c r="E66" s="200"/>
      <c r="F66" s="200"/>
      <c r="G66" s="200" t="s">
        <v>357</v>
      </c>
      <c r="H66" s="200"/>
      <c r="I66" s="200"/>
      <c r="J66" s="200"/>
      <c r="K66" s="200"/>
      <c r="L66" s="200"/>
      <c r="M66" s="200"/>
      <c r="N66" s="200"/>
      <c r="O66" s="218"/>
      <c r="P66" s="200"/>
      <c r="Q66" s="201">
        <v>44838</v>
      </c>
      <c r="R66" s="201">
        <v>44855</v>
      </c>
      <c r="S66" s="200"/>
      <c r="T66" s="202">
        <v>13</v>
      </c>
      <c r="U66" s="202">
        <v>13</v>
      </c>
      <c r="V66" s="202">
        <v>13</v>
      </c>
      <c r="W66" s="202">
        <v>13</v>
      </c>
      <c r="X66" s="201">
        <v>44840</v>
      </c>
      <c r="Y66" s="201">
        <v>44855</v>
      </c>
      <c r="Z66" s="203">
        <v>11</v>
      </c>
      <c r="AA66" s="204">
        <v>11</v>
      </c>
      <c r="AB66" s="202">
        <v>1</v>
      </c>
      <c r="AC66" s="200" t="s">
        <v>358</v>
      </c>
      <c r="AD66" s="205" t="s">
        <v>359</v>
      </c>
      <c r="AE66" s="206">
        <v>1</v>
      </c>
      <c r="AF66" s="214">
        <v>0</v>
      </c>
      <c r="AG66" s="221"/>
      <c r="AH66" s="222" t="str">
        <f>"  " &amp; TEXT(AF66,"#0.00%") &amp; " " &amp; "솔루션 설치" &amp; "(솔루션 테크팀)" &amp; " " &amp; IF(Q66="","",TEXT(Q66,"M/D-")) &amp; IF(R66="","",TEXT(R66,"M/D")) &amp; " "</f>
        <v xml:space="preserve">  0.00% 솔루션 설치(솔루션 테크팀) 10/4-10/21 </v>
      </c>
      <c r="AI66" s="222"/>
      <c r="AJ66" s="222"/>
      <c r="AK66" s="222"/>
      <c r="AL66" s="222"/>
      <c r="AM66" s="222"/>
      <c r="AN66" s="222"/>
      <c r="AO66" s="222"/>
      <c r="AP66" s="222"/>
      <c r="AQ66" s="222"/>
      <c r="AR66" s="222"/>
      <c r="AS66" s="222"/>
      <c r="AT66" s="222"/>
      <c r="AU66" s="222"/>
      <c r="AV66" s="222"/>
      <c r="AW66" s="222"/>
      <c r="AX66" s="222"/>
      <c r="AY66" s="222"/>
      <c r="AZ66" s="222"/>
      <c r="BA66" s="222"/>
      <c r="BB66" s="222"/>
      <c r="BC66" s="222"/>
    </row>
    <row r="67" spans="1:55" ht="12.75" customHeight="1" outlineLevel="2">
      <c r="A67" s="199"/>
      <c r="B67" s="199"/>
      <c r="C67" s="199">
        <v>3</v>
      </c>
      <c r="D67" s="208" t="s">
        <v>360</v>
      </c>
      <c r="E67" s="200"/>
      <c r="F67" s="200"/>
      <c r="G67" s="200" t="s">
        <v>361</v>
      </c>
      <c r="H67" s="200"/>
      <c r="I67" s="200"/>
      <c r="J67" s="200"/>
      <c r="K67" s="200"/>
      <c r="L67" s="200"/>
      <c r="M67" s="200"/>
      <c r="N67" s="200"/>
      <c r="O67" s="218"/>
      <c r="P67" s="200"/>
      <c r="Q67" s="201">
        <v>44858</v>
      </c>
      <c r="R67" s="201">
        <v>44981</v>
      </c>
      <c r="S67" s="200"/>
      <c r="T67" s="202">
        <v>88</v>
      </c>
      <c r="U67" s="202">
        <v>82</v>
      </c>
      <c r="V67" s="202">
        <v>88</v>
      </c>
      <c r="W67" s="202">
        <v>82</v>
      </c>
      <c r="X67" s="201">
        <v>44858</v>
      </c>
      <c r="Y67" s="201"/>
      <c r="Z67" s="203">
        <v>-32039</v>
      </c>
      <c r="AA67" s="204">
        <v>0</v>
      </c>
      <c r="AB67" s="202">
        <v>1</v>
      </c>
      <c r="AC67" s="200" t="s">
        <v>283</v>
      </c>
      <c r="AD67" s="205"/>
      <c r="AE67" s="206">
        <v>0.93181818181818177</v>
      </c>
      <c r="AF67" s="214">
        <v>0</v>
      </c>
      <c r="AG67" s="221"/>
      <c r="AH67" s="222"/>
      <c r="AI67" s="222"/>
      <c r="AJ67" s="222"/>
      <c r="AK67" s="222" t="str">
        <f>" " &amp; TEXT(AF67,"#0.00%") &amp; " "</f>
        <v xml:space="preserve"> 0.00% </v>
      </c>
      <c r="AL67" s="222"/>
      <c r="AM67" s="222"/>
      <c r="AN67" s="222"/>
      <c r="AO67" s="222"/>
      <c r="AP67" s="222"/>
      <c r="AQ67" s="222"/>
      <c r="AR67" s="222"/>
      <c r="AS67" s="222"/>
      <c r="AT67" s="222"/>
      <c r="AU67" s="222"/>
      <c r="AV67" s="222"/>
      <c r="AW67" s="222"/>
      <c r="AX67" s="222"/>
      <c r="AY67" s="222"/>
      <c r="AZ67" s="222"/>
      <c r="BA67" s="222"/>
      <c r="BB67" s="222" t="str">
        <f>"      " &amp; "운영/안정화" &amp; "(박지호)" &amp; " " &amp; IF(Q67="","",TEXT(Q67,"M/D-")) &amp; IF(R67="","",TEXT(R67,"M/D")) &amp; " "</f>
        <v xml:space="preserve">      운영/안정화(박지호) 10/24-2/24 </v>
      </c>
      <c r="BC67" s="222"/>
    </row>
    <row r="68" spans="1:55" ht="12.75" customHeight="1" outlineLevel="1">
      <c r="A68" s="199"/>
      <c r="B68" s="199" t="s">
        <v>210</v>
      </c>
      <c r="C68" s="199">
        <v>2</v>
      </c>
      <c r="D68" s="208" t="s">
        <v>362</v>
      </c>
      <c r="E68" s="200"/>
      <c r="F68" s="200" t="s">
        <v>363</v>
      </c>
      <c r="G68" s="200"/>
      <c r="H68" s="200"/>
      <c r="I68" s="200"/>
      <c r="J68" s="200"/>
      <c r="K68" s="200"/>
      <c r="L68" s="200"/>
      <c r="M68" s="200"/>
      <c r="N68" s="200"/>
      <c r="O68" s="218"/>
      <c r="P68" s="200"/>
      <c r="Q68" s="201">
        <v>44858</v>
      </c>
      <c r="R68" s="201">
        <v>44946</v>
      </c>
      <c r="S68" s="200"/>
      <c r="T68" s="202">
        <v>90</v>
      </c>
      <c r="U68" s="202">
        <v>90</v>
      </c>
      <c r="V68" s="202">
        <v>65</v>
      </c>
      <c r="W68" s="202">
        <v>65</v>
      </c>
      <c r="X68" s="201"/>
      <c r="Y68" s="201"/>
      <c r="Z68" s="203">
        <v>0</v>
      </c>
      <c r="AA68" s="204">
        <v>0</v>
      </c>
      <c r="AB68" s="202"/>
      <c r="AC68" s="200" t="s">
        <v>364</v>
      </c>
      <c r="AD68" s="205"/>
      <c r="AE68" s="206">
        <v>1</v>
      </c>
      <c r="AF68" s="215">
        <v>0</v>
      </c>
      <c r="AG68" s="221"/>
      <c r="AH68" s="222"/>
      <c r="AI68" s="222"/>
      <c r="AJ68" s="222"/>
      <c r="AK68" s="222" t="str">
        <f>" " &amp; TEXT(AF68,"#0.00%") &amp; " "</f>
        <v xml:space="preserve"> 0.00% </v>
      </c>
      <c r="AL68" s="222"/>
      <c r="AM68" s="222"/>
      <c r="AN68" s="222"/>
      <c r="AO68" s="222"/>
      <c r="AP68" s="222"/>
      <c r="AQ68" s="222"/>
      <c r="AR68" s="222"/>
      <c r="AS68" s="222"/>
      <c r="AT68" s="222"/>
      <c r="AU68" s="222"/>
      <c r="AV68" s="222"/>
      <c r="AW68" s="222" t="str">
        <f>"      " &amp; "데이터 거버넌스 플랫폼 설계" &amp; "(유진승, 강문영, UX(TBD))" &amp; " " &amp; IF(Q68="","",TEXT(Q68,"M/D-")) &amp; IF(R68="","",TEXT(R68,"M/D")) &amp; " "</f>
        <v xml:space="preserve">      데이터 거버넌스 플랫폼 설계(유진승, 강문영, UX(TBD)) 10/24-1/20 </v>
      </c>
      <c r="AX68" s="222"/>
      <c r="AY68" s="222"/>
      <c r="AZ68" s="222"/>
      <c r="BA68" s="222"/>
      <c r="BB68" s="222"/>
      <c r="BC68" s="222"/>
    </row>
    <row r="69" spans="1:55" ht="12.75" customHeight="1" outlineLevel="2">
      <c r="A69" s="199"/>
      <c r="B69" s="199" t="s">
        <v>210</v>
      </c>
      <c r="C69" s="199">
        <v>3</v>
      </c>
      <c r="D69" s="208" t="s">
        <v>365</v>
      </c>
      <c r="E69" s="200"/>
      <c r="F69" s="200"/>
      <c r="G69" s="200" t="s">
        <v>366</v>
      </c>
      <c r="H69" s="200"/>
      <c r="I69" s="200"/>
      <c r="J69" s="200"/>
      <c r="K69" s="200"/>
      <c r="L69" s="200"/>
      <c r="M69" s="200"/>
      <c r="N69" s="200"/>
      <c r="O69" s="218"/>
      <c r="P69" s="200"/>
      <c r="Q69" s="201">
        <v>44858</v>
      </c>
      <c r="R69" s="201">
        <v>44883</v>
      </c>
      <c r="S69" s="200"/>
      <c r="T69" s="202">
        <v>20</v>
      </c>
      <c r="U69" s="202">
        <v>20</v>
      </c>
      <c r="V69" s="202">
        <v>20</v>
      </c>
      <c r="W69" s="202">
        <v>20</v>
      </c>
      <c r="X69" s="201"/>
      <c r="Y69" s="201"/>
      <c r="Z69" s="203">
        <v>0</v>
      </c>
      <c r="AA69" s="204">
        <v>0</v>
      </c>
      <c r="AB69" s="202"/>
      <c r="AC69" s="200" t="s">
        <v>364</v>
      </c>
      <c r="AD69" s="205"/>
      <c r="AE69" s="206">
        <v>1</v>
      </c>
      <c r="AF69" s="215">
        <v>0</v>
      </c>
      <c r="AG69" s="221"/>
      <c r="AH69" s="222"/>
      <c r="AI69" s="222"/>
      <c r="AJ69" s="222"/>
      <c r="AK69" s="222" t="str">
        <f>" " &amp; TEXT(AF69,"#0.00%") &amp; " "</f>
        <v xml:space="preserve"> 0.00% </v>
      </c>
      <c r="AL69" s="222"/>
      <c r="AM69" s="222"/>
      <c r="AN69" s="222" t="str">
        <f>"      " &amp; "Design Thinking workshop" &amp; "(유진승, 강문영, UX(TBD))" &amp; " " &amp; IF(Q69="","",TEXT(Q69,"M/D-")) &amp; IF(R69="","",TEXT(R69,"M/D")) &amp; " "</f>
        <v xml:space="preserve">      Design Thinking workshop(유진승, 강문영, UX(TBD)) 10/24-11/18 </v>
      </c>
      <c r="AO69" s="222"/>
      <c r="AP69" s="222"/>
      <c r="AQ69" s="222"/>
      <c r="AR69" s="222"/>
      <c r="AS69" s="222"/>
      <c r="AT69" s="222"/>
      <c r="AU69" s="222"/>
      <c r="AV69" s="222"/>
      <c r="AW69" s="222"/>
      <c r="AX69" s="222"/>
      <c r="AY69" s="222"/>
      <c r="AZ69" s="222"/>
      <c r="BA69" s="222"/>
      <c r="BB69" s="222"/>
      <c r="BC69" s="222"/>
    </row>
    <row r="70" spans="1:55" ht="12.75" customHeight="1" outlineLevel="3">
      <c r="A70" s="199"/>
      <c r="B70" s="199"/>
      <c r="C70" s="199">
        <v>4</v>
      </c>
      <c r="D70" s="208" t="s">
        <v>367</v>
      </c>
      <c r="E70" s="200"/>
      <c r="F70" s="200"/>
      <c r="G70" s="200"/>
      <c r="H70" s="200" t="s">
        <v>368</v>
      </c>
      <c r="I70" s="200"/>
      <c r="J70" s="200"/>
      <c r="K70" s="200"/>
      <c r="L70" s="200"/>
      <c r="M70" s="200"/>
      <c r="N70" s="200"/>
      <c r="O70" s="218"/>
      <c r="P70" s="200"/>
      <c r="Q70" s="201">
        <v>44858</v>
      </c>
      <c r="R70" s="201">
        <v>44862</v>
      </c>
      <c r="S70" s="200"/>
      <c r="T70" s="202">
        <v>5</v>
      </c>
      <c r="U70" s="202">
        <v>5</v>
      </c>
      <c r="V70" s="202">
        <v>5</v>
      </c>
      <c r="W70" s="202">
        <v>5</v>
      </c>
      <c r="X70" s="201">
        <v>44858</v>
      </c>
      <c r="Y70" s="201">
        <v>44862</v>
      </c>
      <c r="Z70" s="203">
        <v>5</v>
      </c>
      <c r="AA70" s="204">
        <v>5</v>
      </c>
      <c r="AB70" s="202">
        <v>1</v>
      </c>
      <c r="AC70" s="200" t="s">
        <v>364</v>
      </c>
      <c r="AD70" s="205"/>
      <c r="AE70" s="206">
        <v>1</v>
      </c>
      <c r="AF70" s="214">
        <v>0</v>
      </c>
      <c r="AG70" s="221"/>
      <c r="AH70" s="222"/>
      <c r="AI70" s="222"/>
      <c r="AJ70" s="222"/>
      <c r="AK70" s="222" t="str">
        <f>" " &amp; TEXT(AF70,"#0.00%") &amp; " " &amp; "사용자 이해" &amp; "(유진승, 강문영, UX(TBD))" &amp; " " &amp; IF(Q70="","",TEXT(Q70,"M/D-")) &amp; IF(R70="","",TEXT(R70,"M/D")) &amp; " "</f>
        <v xml:space="preserve"> 0.00% 사용자 이해(유진승, 강문영, UX(TBD)) 10/24-10/28 </v>
      </c>
      <c r="AL70" s="222"/>
      <c r="AM70" s="222"/>
      <c r="AN70" s="222"/>
      <c r="AO70" s="222"/>
      <c r="AP70" s="222"/>
      <c r="AQ70" s="222"/>
      <c r="AR70" s="222"/>
      <c r="AS70" s="222"/>
      <c r="AT70" s="222"/>
      <c r="AU70" s="222"/>
      <c r="AV70" s="222"/>
      <c r="AW70" s="222"/>
      <c r="AX70" s="222"/>
      <c r="AY70" s="222"/>
      <c r="AZ70" s="222"/>
      <c r="BA70" s="222"/>
      <c r="BB70" s="222"/>
      <c r="BC70" s="222"/>
    </row>
    <row r="71" spans="1:55" ht="12.75" customHeight="1" outlineLevel="3">
      <c r="A71" s="199"/>
      <c r="B71" s="199"/>
      <c r="C71" s="199">
        <v>4</v>
      </c>
      <c r="D71" s="208" t="s">
        <v>369</v>
      </c>
      <c r="E71" s="200"/>
      <c r="F71" s="200"/>
      <c r="G71" s="200"/>
      <c r="H71" s="200" t="s">
        <v>370</v>
      </c>
      <c r="I71" s="200"/>
      <c r="J71" s="200"/>
      <c r="K71" s="200"/>
      <c r="L71" s="200"/>
      <c r="M71" s="200"/>
      <c r="N71" s="200"/>
      <c r="O71" s="218"/>
      <c r="P71" s="200"/>
      <c r="Q71" s="201">
        <v>44865</v>
      </c>
      <c r="R71" s="201">
        <v>44869</v>
      </c>
      <c r="S71" s="200"/>
      <c r="T71" s="202">
        <v>5</v>
      </c>
      <c r="U71" s="202">
        <v>5</v>
      </c>
      <c r="V71" s="202">
        <v>5</v>
      </c>
      <c r="W71" s="202">
        <v>5</v>
      </c>
      <c r="X71" s="201">
        <v>44865</v>
      </c>
      <c r="Y71" s="201">
        <v>44869</v>
      </c>
      <c r="Z71" s="203">
        <v>5</v>
      </c>
      <c r="AA71" s="204">
        <v>5</v>
      </c>
      <c r="AB71" s="202">
        <v>1</v>
      </c>
      <c r="AC71" s="200" t="s">
        <v>364</v>
      </c>
      <c r="AD71" s="205" t="s">
        <v>371</v>
      </c>
      <c r="AE71" s="206">
        <v>1</v>
      </c>
      <c r="AF71" s="214">
        <v>0</v>
      </c>
      <c r="AG71" s="221"/>
      <c r="AH71" s="222"/>
      <c r="AI71" s="222"/>
      <c r="AJ71" s="222"/>
      <c r="AK71" s="222"/>
      <c r="AL71" s="222" t="str">
        <f>" " &amp; TEXT(AF71,"#0.00%") &amp; " " &amp; "기회영역 정의" &amp; "(유진승, 강문영, UX(TBD))" &amp; " " &amp; IF(Q71="","",TEXT(Q71,"M/D-")) &amp; IF(R71="","",TEXT(R71,"M/D")) &amp; " "</f>
        <v xml:space="preserve"> 0.00% 기회영역 정의(유진승, 강문영, UX(TBD)) 10/31-11/4 </v>
      </c>
      <c r="AM71" s="222"/>
      <c r="AN71" s="222"/>
      <c r="AO71" s="222"/>
      <c r="AP71" s="222"/>
      <c r="AQ71" s="222"/>
      <c r="AR71" s="222"/>
      <c r="AS71" s="222"/>
      <c r="AT71" s="222"/>
      <c r="AU71" s="222"/>
      <c r="AV71" s="222"/>
      <c r="AW71" s="222"/>
      <c r="AX71" s="222"/>
      <c r="AY71" s="222"/>
      <c r="AZ71" s="222"/>
      <c r="BA71" s="222"/>
      <c r="BB71" s="222"/>
      <c r="BC71" s="222"/>
    </row>
    <row r="72" spans="1:55" ht="12.75" customHeight="1" outlineLevel="3">
      <c r="A72" s="199"/>
      <c r="B72" s="199"/>
      <c r="C72" s="199">
        <v>4</v>
      </c>
      <c r="D72" s="208" t="s">
        <v>372</v>
      </c>
      <c r="E72" s="200"/>
      <c r="F72" s="200"/>
      <c r="G72" s="200"/>
      <c r="H72" s="200" t="s">
        <v>373</v>
      </c>
      <c r="I72" s="200"/>
      <c r="J72" s="200"/>
      <c r="K72" s="200"/>
      <c r="L72" s="200"/>
      <c r="M72" s="200"/>
      <c r="N72" s="200"/>
      <c r="O72" s="218"/>
      <c r="P72" s="200"/>
      <c r="Q72" s="201">
        <v>44872</v>
      </c>
      <c r="R72" s="201">
        <v>44883</v>
      </c>
      <c r="S72" s="200"/>
      <c r="T72" s="202">
        <v>10</v>
      </c>
      <c r="U72" s="202">
        <v>10</v>
      </c>
      <c r="V72" s="202">
        <v>10</v>
      </c>
      <c r="W72" s="202">
        <v>10</v>
      </c>
      <c r="X72" s="201">
        <v>44872</v>
      </c>
      <c r="Y72" s="201">
        <v>44883</v>
      </c>
      <c r="Z72" s="203">
        <v>10</v>
      </c>
      <c r="AA72" s="204">
        <v>10</v>
      </c>
      <c r="AB72" s="202">
        <v>1</v>
      </c>
      <c r="AC72" s="200" t="s">
        <v>364</v>
      </c>
      <c r="AD72" s="205" t="s">
        <v>374</v>
      </c>
      <c r="AE72" s="206">
        <v>1</v>
      </c>
      <c r="AF72" s="214">
        <v>0</v>
      </c>
      <c r="AG72" s="221"/>
      <c r="AH72" s="222"/>
      <c r="AI72" s="222"/>
      <c r="AJ72" s="222"/>
      <c r="AK72" s="222"/>
      <c r="AL72" s="222"/>
      <c r="AM72" s="222" t="str">
        <f>" " &amp; TEXT(AF72,"#0.00%") &amp; " " &amp; "To-Be 경험 설계" &amp; "(유진승, 강문영, UX(TBD))" &amp; " " &amp; IF(Q72="","",TEXT(Q72,"M/D-")) &amp; IF(R72="","",TEXT(R72,"M/D")) &amp; " "</f>
        <v xml:space="preserve"> 0.00% To-Be 경험 설계(유진승, 강문영, UX(TBD)) 11/7-11/18 </v>
      </c>
      <c r="AN72" s="222"/>
      <c r="AO72" s="222"/>
      <c r="AP72" s="222"/>
      <c r="AQ72" s="222"/>
      <c r="AR72" s="222"/>
      <c r="AS72" s="222"/>
      <c r="AT72" s="222"/>
      <c r="AU72" s="222"/>
      <c r="AV72" s="222"/>
      <c r="AW72" s="222"/>
      <c r="AX72" s="222"/>
      <c r="AY72" s="222"/>
      <c r="AZ72" s="222"/>
      <c r="BA72" s="222"/>
      <c r="BB72" s="222"/>
      <c r="BC72" s="222"/>
    </row>
    <row r="73" spans="1:55" ht="12.75" customHeight="1" outlineLevel="2">
      <c r="A73" s="199"/>
      <c r="B73" s="199" t="s">
        <v>210</v>
      </c>
      <c r="C73" s="199">
        <v>3</v>
      </c>
      <c r="D73" s="208" t="s">
        <v>375</v>
      </c>
      <c r="E73" s="200"/>
      <c r="F73" s="200"/>
      <c r="G73" s="200" t="s">
        <v>376</v>
      </c>
      <c r="H73" s="200"/>
      <c r="I73" s="200"/>
      <c r="J73" s="200"/>
      <c r="K73" s="200"/>
      <c r="L73" s="200"/>
      <c r="M73" s="200"/>
      <c r="N73" s="200"/>
      <c r="O73" s="218"/>
      <c r="P73" s="200"/>
      <c r="Q73" s="201">
        <v>44886</v>
      </c>
      <c r="R73" s="201">
        <v>44946</v>
      </c>
      <c r="S73" s="200"/>
      <c r="T73" s="202">
        <v>70</v>
      </c>
      <c r="U73" s="202">
        <v>70</v>
      </c>
      <c r="V73" s="202">
        <v>45</v>
      </c>
      <c r="W73" s="202">
        <v>45</v>
      </c>
      <c r="X73" s="201"/>
      <c r="Y73" s="201"/>
      <c r="Z73" s="203">
        <v>0</v>
      </c>
      <c r="AA73" s="204">
        <v>0</v>
      </c>
      <c r="AB73" s="202"/>
      <c r="AC73" s="200" t="s">
        <v>364</v>
      </c>
      <c r="AD73" s="205"/>
      <c r="AE73" s="206">
        <v>1</v>
      </c>
      <c r="AF73" s="215">
        <v>0</v>
      </c>
      <c r="AG73" s="221"/>
      <c r="AH73" s="222"/>
      <c r="AI73" s="222"/>
      <c r="AJ73" s="222"/>
      <c r="AK73" s="222"/>
      <c r="AL73" s="222"/>
      <c r="AM73" s="222"/>
      <c r="AN73" s="222"/>
      <c r="AO73" s="222" t="str">
        <f>" " &amp; TEXT(AF73,"#0.00%") &amp; " "</f>
        <v xml:space="preserve"> 0.00% </v>
      </c>
      <c r="AP73" s="222"/>
      <c r="AQ73" s="222"/>
      <c r="AR73" s="222"/>
      <c r="AS73" s="222"/>
      <c r="AT73" s="222"/>
      <c r="AU73" s="222"/>
      <c r="AV73" s="222"/>
      <c r="AW73" s="222" t="str">
        <f>"      " &amp; "설계 구체화" &amp; "(유진승, 강문영, UX(TBD))" &amp; " " &amp; IF(Q73="","",TEXT(Q73,"M/D-")) &amp; IF(R73="","",TEXT(R73,"M/D")) &amp; " "</f>
        <v xml:space="preserve">      설계 구체화(유진승, 강문영, UX(TBD)) 11/21-1/20 </v>
      </c>
      <c r="AX73" s="222"/>
      <c r="AY73" s="222"/>
      <c r="AZ73" s="222"/>
      <c r="BA73" s="222"/>
      <c r="BB73" s="222"/>
      <c r="BC73" s="222"/>
    </row>
    <row r="74" spans="1:55" ht="12.75" customHeight="1" outlineLevel="3">
      <c r="A74" s="199"/>
      <c r="B74" s="199"/>
      <c r="C74" s="199">
        <v>4</v>
      </c>
      <c r="D74" s="208" t="s">
        <v>377</v>
      </c>
      <c r="E74" s="200"/>
      <c r="F74" s="200"/>
      <c r="G74" s="200"/>
      <c r="H74" s="200" t="s">
        <v>378</v>
      </c>
      <c r="I74" s="200"/>
      <c r="J74" s="200"/>
      <c r="K74" s="200"/>
      <c r="L74" s="200"/>
      <c r="M74" s="200"/>
      <c r="N74" s="200"/>
      <c r="O74" s="218"/>
      <c r="P74" s="200"/>
      <c r="Q74" s="201">
        <v>44886</v>
      </c>
      <c r="R74" s="201">
        <v>44918</v>
      </c>
      <c r="S74" s="200"/>
      <c r="T74" s="202">
        <v>25</v>
      </c>
      <c r="U74" s="202">
        <v>25</v>
      </c>
      <c r="V74" s="202">
        <v>25</v>
      </c>
      <c r="W74" s="202">
        <v>25</v>
      </c>
      <c r="X74" s="201">
        <v>44886</v>
      </c>
      <c r="Y74" s="201" t="s">
        <v>1712</v>
      </c>
      <c r="Z74" s="203" t="e">
        <v>#VALUE!</v>
      </c>
      <c r="AA74" s="204" t="e">
        <v>#VALUE!</v>
      </c>
      <c r="AB74" s="202">
        <v>1</v>
      </c>
      <c r="AC74" s="200" t="s">
        <v>364</v>
      </c>
      <c r="AD74" s="205" t="s">
        <v>379</v>
      </c>
      <c r="AE74" s="206">
        <v>1</v>
      </c>
      <c r="AF74" s="214">
        <v>0</v>
      </c>
      <c r="AG74" s="221"/>
      <c r="AH74" s="222"/>
      <c r="AI74" s="222"/>
      <c r="AJ74" s="222"/>
      <c r="AK74" s="222"/>
      <c r="AL74" s="222"/>
      <c r="AM74" s="222"/>
      <c r="AN74" s="222"/>
      <c r="AO74" s="222" t="str">
        <f>" " &amp; TEXT(AF74,"#0.00%") &amp; " "</f>
        <v xml:space="preserve"> 0.00% </v>
      </c>
      <c r="AP74" s="222"/>
      <c r="AQ74" s="222"/>
      <c r="AR74" s="222"/>
      <c r="AS74" s="222" t="str">
        <f>"      " &amp; "포털 프로세스 설계" &amp; "(유진승, 강문영, UX(TBD))" &amp; " " &amp; IF(Q74="","",TEXT(Q74,"M/D-")) &amp; IF(R74="","",TEXT(R74,"M/D")) &amp; " "</f>
        <v xml:space="preserve">      포털 프로세스 설계(유진승, 강문영, UX(TBD)) 11/21-12/23 </v>
      </c>
      <c r="AT74" s="222"/>
      <c r="AU74" s="222"/>
      <c r="AV74" s="222"/>
      <c r="AW74" s="222"/>
      <c r="AX74" s="222"/>
      <c r="AY74" s="222"/>
      <c r="AZ74" s="222"/>
      <c r="BA74" s="222"/>
      <c r="BB74" s="222"/>
      <c r="BC74" s="222"/>
    </row>
    <row r="75" spans="1:55" ht="12.75" customHeight="1" outlineLevel="3">
      <c r="A75" s="199"/>
      <c r="B75" s="199"/>
      <c r="C75" s="199">
        <v>4</v>
      </c>
      <c r="D75" s="208" t="s">
        <v>380</v>
      </c>
      <c r="E75" s="200"/>
      <c r="F75" s="200"/>
      <c r="G75" s="200"/>
      <c r="H75" s="200" t="s">
        <v>381</v>
      </c>
      <c r="I75" s="200"/>
      <c r="J75" s="200"/>
      <c r="K75" s="200"/>
      <c r="L75" s="200"/>
      <c r="M75" s="200"/>
      <c r="N75" s="200"/>
      <c r="O75" s="218"/>
      <c r="P75" s="200"/>
      <c r="Q75" s="201">
        <v>44886</v>
      </c>
      <c r="R75" s="201">
        <v>44918</v>
      </c>
      <c r="S75" s="200"/>
      <c r="T75" s="202">
        <v>25</v>
      </c>
      <c r="U75" s="202">
        <v>25</v>
      </c>
      <c r="V75" s="202">
        <v>25</v>
      </c>
      <c r="W75" s="202">
        <v>25</v>
      </c>
      <c r="X75" s="201">
        <v>44886</v>
      </c>
      <c r="Y75" s="201">
        <v>44918</v>
      </c>
      <c r="Z75" s="203">
        <v>25</v>
      </c>
      <c r="AA75" s="204">
        <v>25</v>
      </c>
      <c r="AB75" s="202">
        <v>1</v>
      </c>
      <c r="AC75" s="200" t="s">
        <v>364</v>
      </c>
      <c r="AD75" s="205" t="s">
        <v>382</v>
      </c>
      <c r="AE75" s="206">
        <v>1</v>
      </c>
      <c r="AF75" s="214">
        <v>0</v>
      </c>
      <c r="AG75" s="221"/>
      <c r="AH75" s="222"/>
      <c r="AI75" s="222"/>
      <c r="AJ75" s="222"/>
      <c r="AK75" s="222"/>
      <c r="AL75" s="222"/>
      <c r="AM75" s="222"/>
      <c r="AN75" s="222"/>
      <c r="AO75" s="222" t="str">
        <f>" " &amp; TEXT(AF75,"#0.00%") &amp; " "</f>
        <v xml:space="preserve"> 0.00% </v>
      </c>
      <c r="AP75" s="222"/>
      <c r="AQ75" s="222"/>
      <c r="AR75" s="222"/>
      <c r="AS75" s="222" t="str">
        <f>"      " &amp; "포털 화면 설계" &amp; "(유진승, 강문영, UX(TBD))" &amp; " " &amp; IF(Q75="","",TEXT(Q75,"M/D-")) &amp; IF(R75="","",TEXT(R75,"M/D")) &amp; " "</f>
        <v xml:space="preserve">      포털 화면 설계(유진승, 강문영, UX(TBD)) 11/21-12/23 </v>
      </c>
      <c r="AT75" s="222"/>
      <c r="AU75" s="222"/>
      <c r="AV75" s="222"/>
      <c r="AW75" s="222"/>
      <c r="AX75" s="222"/>
      <c r="AY75" s="222"/>
      <c r="AZ75" s="222"/>
      <c r="BA75" s="222"/>
      <c r="BB75" s="222"/>
      <c r="BC75" s="222"/>
    </row>
    <row r="76" spans="1:55" ht="12.75" customHeight="1" outlineLevel="3">
      <c r="A76" s="199"/>
      <c r="B76" s="199"/>
      <c r="C76" s="199">
        <v>4</v>
      </c>
      <c r="D76" s="208" t="s">
        <v>383</v>
      </c>
      <c r="E76" s="200"/>
      <c r="F76" s="200"/>
      <c r="G76" s="200"/>
      <c r="H76" s="200" t="s">
        <v>384</v>
      </c>
      <c r="I76" s="200"/>
      <c r="J76" s="200"/>
      <c r="K76" s="200"/>
      <c r="L76" s="200"/>
      <c r="M76" s="200"/>
      <c r="N76" s="200"/>
      <c r="O76" s="218"/>
      <c r="P76" s="200"/>
      <c r="Q76" s="201">
        <v>44921</v>
      </c>
      <c r="R76" s="201">
        <v>44946</v>
      </c>
      <c r="S76" s="200"/>
      <c r="T76" s="202">
        <v>20</v>
      </c>
      <c r="U76" s="202">
        <v>20</v>
      </c>
      <c r="V76" s="202">
        <v>20</v>
      </c>
      <c r="W76" s="202">
        <v>20</v>
      </c>
      <c r="X76" s="201">
        <v>44921</v>
      </c>
      <c r="Y76" s="201">
        <v>44946</v>
      </c>
      <c r="Z76" s="203">
        <v>20</v>
      </c>
      <c r="AA76" s="204">
        <v>20</v>
      </c>
      <c r="AB76" s="202">
        <v>1</v>
      </c>
      <c r="AC76" s="200" t="s">
        <v>364</v>
      </c>
      <c r="AD76" s="205" t="s">
        <v>385</v>
      </c>
      <c r="AE76" s="206">
        <v>1</v>
      </c>
      <c r="AF76" s="214">
        <v>0</v>
      </c>
      <c r="AG76" s="221"/>
      <c r="AH76" s="222"/>
      <c r="AI76" s="222"/>
      <c r="AJ76" s="222"/>
      <c r="AK76" s="222"/>
      <c r="AL76" s="222"/>
      <c r="AM76" s="222"/>
      <c r="AN76" s="222"/>
      <c r="AO76" s="222"/>
      <c r="AP76" s="222"/>
      <c r="AQ76" s="222"/>
      <c r="AR76" s="222"/>
      <c r="AS76" s="222"/>
      <c r="AT76" s="222" t="str">
        <f>" " &amp; TEXT(AF76,"#0.00%") &amp; " "</f>
        <v xml:space="preserve"> 0.00% </v>
      </c>
      <c r="AU76" s="222"/>
      <c r="AV76" s="222"/>
      <c r="AW76" s="222" t="str">
        <f>"      " &amp; "포털 구축 로드맵 수립" &amp; "(유진승, 강문영, UX(TBD))" &amp; " " &amp; IF(Q76="","",TEXT(Q76,"M/D-")) &amp; IF(R76="","",TEXT(R76,"M/D")) &amp; " "</f>
        <v xml:space="preserve">      포털 구축 로드맵 수립(유진승, 강문영, UX(TBD)) 12/26-1/20 </v>
      </c>
      <c r="AX76" s="222"/>
      <c r="AY76" s="222"/>
      <c r="AZ76" s="222"/>
      <c r="BA76" s="222"/>
      <c r="BB76" s="222"/>
      <c r="BC76" s="222"/>
    </row>
    <row r="77" spans="1:55" ht="12.75" customHeight="1" outlineLevel="1">
      <c r="A77" s="199"/>
      <c r="B77" s="199" t="s">
        <v>210</v>
      </c>
      <c r="C77" s="199">
        <v>2</v>
      </c>
      <c r="D77" s="208" t="s">
        <v>386</v>
      </c>
      <c r="E77" s="200"/>
      <c r="F77" s="200" t="s">
        <v>387</v>
      </c>
      <c r="G77" s="200"/>
      <c r="H77" s="200"/>
      <c r="I77" s="200"/>
      <c r="J77" s="200"/>
      <c r="K77" s="200"/>
      <c r="L77" s="200"/>
      <c r="M77" s="200"/>
      <c r="N77" s="200"/>
      <c r="O77" s="218"/>
      <c r="P77" s="200"/>
      <c r="Q77" s="201">
        <v>44830</v>
      </c>
      <c r="R77" s="201">
        <v>44981</v>
      </c>
      <c r="S77" s="200"/>
      <c r="T77" s="202">
        <v>367</v>
      </c>
      <c r="U77" s="202">
        <v>352</v>
      </c>
      <c r="V77" s="202">
        <v>106</v>
      </c>
      <c r="W77" s="202">
        <v>100</v>
      </c>
      <c r="X77" s="201"/>
      <c r="Y77" s="201"/>
      <c r="Z77" s="203">
        <v>0</v>
      </c>
      <c r="AA77" s="204">
        <v>0</v>
      </c>
      <c r="AB77" s="202"/>
      <c r="AC77" s="200" t="s">
        <v>388</v>
      </c>
      <c r="AD77" s="212"/>
      <c r="AE77" s="206">
        <v>0.95912806539509532</v>
      </c>
      <c r="AF77" s="215">
        <v>0</v>
      </c>
      <c r="AG77" s="221" t="str">
        <f>" " &amp; TEXT(AF77,"#0.00%") &amp; " "</f>
        <v xml:space="preserve"> 0.00% </v>
      </c>
      <c r="AH77" s="222"/>
      <c r="AI77" s="222"/>
      <c r="AJ77" s="222"/>
      <c r="AK77" s="222"/>
      <c r="AL77" s="222"/>
      <c r="AM77" s="222"/>
      <c r="AN77" s="222"/>
      <c r="AO77" s="222"/>
      <c r="AP77" s="222"/>
      <c r="AQ77" s="222"/>
      <c r="AR77" s="222"/>
      <c r="AS77" s="222"/>
      <c r="AT77" s="222"/>
      <c r="AU77" s="222"/>
      <c r="AV77" s="222"/>
      <c r="AW77" s="222"/>
      <c r="AX77" s="222"/>
      <c r="AY77" s="222"/>
      <c r="AZ77" s="222"/>
      <c r="BA77" s="222"/>
      <c r="BB77" s="222" t="str">
        <f>"      " &amp; "데이터 포탈 구축(1단계)" &amp; "(솔루션 R&amp;D팀)" &amp; " " &amp; IF(Q77="","",TEXT(Q77,"M/D-")) &amp; IF(R77="","",TEXT(R77,"M/D")) &amp; " "</f>
        <v xml:space="preserve">      데이터 포탈 구축(1단계)(솔루션 R&amp;D팀) 9/26-2/24 </v>
      </c>
      <c r="BC77" s="222"/>
    </row>
    <row r="78" spans="1:55" ht="12.75" customHeight="1" outlineLevel="2">
      <c r="A78" s="199"/>
      <c r="B78" s="199"/>
      <c r="C78" s="199">
        <v>3</v>
      </c>
      <c r="D78" s="208" t="s">
        <v>389</v>
      </c>
      <c r="E78" s="200"/>
      <c r="F78" s="200"/>
      <c r="G78" s="200" t="s">
        <v>390</v>
      </c>
      <c r="H78" s="200"/>
      <c r="I78" s="200"/>
      <c r="J78" s="200"/>
      <c r="K78" s="200"/>
      <c r="L78" s="200"/>
      <c r="M78" s="200"/>
      <c r="N78" s="200"/>
      <c r="O78" s="218"/>
      <c r="P78" s="200"/>
      <c r="Q78" s="201">
        <v>44830</v>
      </c>
      <c r="R78" s="201">
        <v>44862</v>
      </c>
      <c r="S78" s="200"/>
      <c r="T78" s="202">
        <v>23</v>
      </c>
      <c r="U78" s="202">
        <v>23</v>
      </c>
      <c r="V78" s="202">
        <v>23</v>
      </c>
      <c r="W78" s="202">
        <v>23</v>
      </c>
      <c r="X78" s="201">
        <v>44830</v>
      </c>
      <c r="Y78" s="201">
        <v>44862</v>
      </c>
      <c r="Z78" s="203">
        <v>23</v>
      </c>
      <c r="AA78" s="204">
        <v>23</v>
      </c>
      <c r="AB78" s="202">
        <v>1</v>
      </c>
      <c r="AC78" s="200" t="s">
        <v>388</v>
      </c>
      <c r="AD78" s="205"/>
      <c r="AE78" s="206">
        <v>1</v>
      </c>
      <c r="AF78" s="214">
        <v>0</v>
      </c>
      <c r="AG78" s="221" t="str">
        <f>" " &amp; TEXT(AF78,"#0.00%") &amp; " "</f>
        <v xml:space="preserve"> 0.00% </v>
      </c>
      <c r="AH78" s="222"/>
      <c r="AI78" s="222"/>
      <c r="AJ78" s="222"/>
      <c r="AK78" s="222" t="str">
        <f>"      " &amp; "(Biz. Meta)기본 설계/개발" &amp; "(솔루션 R&amp;D팀)" &amp; " " &amp; IF(Q78="","",TEXT(Q78,"M/D-")) &amp; IF(R78="","",TEXT(R78,"M/D")) &amp; " "</f>
        <v xml:space="preserve">      (Biz. Meta)기본 설계/개발(솔루션 R&amp;D팀) 9/26-10/28 </v>
      </c>
      <c r="AL78" s="222"/>
      <c r="AM78" s="222"/>
      <c r="AN78" s="222"/>
      <c r="AO78" s="222"/>
      <c r="AP78" s="222"/>
      <c r="AQ78" s="222"/>
      <c r="AR78" s="222"/>
      <c r="AS78" s="222"/>
      <c r="AT78" s="222"/>
      <c r="AU78" s="222"/>
      <c r="AV78" s="222"/>
      <c r="AW78" s="222"/>
      <c r="AX78" s="222"/>
      <c r="AY78" s="222"/>
      <c r="AZ78" s="222"/>
      <c r="BA78" s="222"/>
      <c r="BB78" s="222"/>
      <c r="BC78" s="222"/>
    </row>
    <row r="79" spans="1:55" ht="12.75" customHeight="1" outlineLevel="2">
      <c r="A79" s="199"/>
      <c r="B79" s="199"/>
      <c r="C79" s="199">
        <v>3</v>
      </c>
      <c r="D79" s="208" t="s">
        <v>391</v>
      </c>
      <c r="E79" s="200"/>
      <c r="F79" s="200"/>
      <c r="G79" s="200" t="s">
        <v>392</v>
      </c>
      <c r="H79" s="200"/>
      <c r="I79" s="200"/>
      <c r="J79" s="200"/>
      <c r="K79" s="200"/>
      <c r="L79" s="200"/>
      <c r="M79" s="200"/>
      <c r="N79" s="200"/>
      <c r="O79" s="218"/>
      <c r="P79" s="200"/>
      <c r="Q79" s="201">
        <v>44865</v>
      </c>
      <c r="R79" s="201">
        <v>44904</v>
      </c>
      <c r="S79" s="200"/>
      <c r="T79" s="202">
        <v>30</v>
      </c>
      <c r="U79" s="202">
        <v>30</v>
      </c>
      <c r="V79" s="202">
        <v>30</v>
      </c>
      <c r="W79" s="202">
        <v>30</v>
      </c>
      <c r="X79" s="201">
        <v>44865</v>
      </c>
      <c r="Y79" s="201">
        <v>44911</v>
      </c>
      <c r="Z79" s="203">
        <v>35</v>
      </c>
      <c r="AA79" s="204">
        <v>35</v>
      </c>
      <c r="AB79" s="202">
        <v>1</v>
      </c>
      <c r="AC79" s="200" t="s">
        <v>388</v>
      </c>
      <c r="AD79" s="205"/>
      <c r="AE79" s="206">
        <v>1</v>
      </c>
      <c r="AF79" s="214">
        <v>0</v>
      </c>
      <c r="AG79" s="221"/>
      <c r="AH79" s="222"/>
      <c r="AI79" s="222"/>
      <c r="AJ79" s="222"/>
      <c r="AK79" s="222"/>
      <c r="AL79" s="222" t="str">
        <f>" " &amp; TEXT(AF79,"#0.00%") &amp; " "</f>
        <v xml:space="preserve"> 0.00% </v>
      </c>
      <c r="AM79" s="222"/>
      <c r="AN79" s="222"/>
      <c r="AO79" s="222"/>
      <c r="AP79" s="222"/>
      <c r="AQ79" s="222" t="str">
        <f>"      " &amp; "(Biz. Meta)상세 설계/개발" &amp; "(솔루션 R&amp;D팀)" &amp; " " &amp; IF(Q79="","",TEXT(Q79,"M/D-")) &amp; IF(R79="","",TEXT(R79,"M/D")) &amp; " "</f>
        <v xml:space="preserve">      (Biz. Meta)상세 설계/개발(솔루션 R&amp;D팀) 10/31-12/9 </v>
      </c>
      <c r="AR79" s="222"/>
      <c r="AS79" s="222"/>
      <c r="AT79" s="222"/>
      <c r="AU79" s="222"/>
      <c r="AV79" s="222"/>
      <c r="AW79" s="222"/>
      <c r="AX79" s="222"/>
      <c r="AY79" s="222"/>
      <c r="AZ79" s="222"/>
      <c r="BA79" s="222"/>
      <c r="BB79" s="222"/>
      <c r="BC79" s="222"/>
    </row>
    <row r="80" spans="1:55" ht="12.75" customHeight="1" outlineLevel="2">
      <c r="A80" s="199"/>
      <c r="B80" s="199"/>
      <c r="C80" s="199">
        <v>3</v>
      </c>
      <c r="D80" s="208" t="s">
        <v>393</v>
      </c>
      <c r="E80" s="200"/>
      <c r="F80" s="200"/>
      <c r="G80" s="200" t="s">
        <v>394</v>
      </c>
      <c r="H80" s="200"/>
      <c r="I80" s="200"/>
      <c r="J80" s="200"/>
      <c r="K80" s="200"/>
      <c r="L80" s="200"/>
      <c r="M80" s="200"/>
      <c r="N80" s="200"/>
      <c r="O80" s="218"/>
      <c r="P80" s="200"/>
      <c r="Q80" s="201">
        <v>44893</v>
      </c>
      <c r="R80" s="201">
        <v>44932</v>
      </c>
      <c r="S80" s="200"/>
      <c r="T80" s="202">
        <v>30</v>
      </c>
      <c r="U80" s="202">
        <v>30</v>
      </c>
      <c r="V80" s="202">
        <v>30</v>
      </c>
      <c r="W80" s="202">
        <v>30</v>
      </c>
      <c r="X80" s="201">
        <v>44914</v>
      </c>
      <c r="Y80" s="201">
        <v>44932</v>
      </c>
      <c r="Z80" s="203">
        <v>15</v>
      </c>
      <c r="AA80" s="204">
        <v>15</v>
      </c>
      <c r="AB80" s="202">
        <v>1</v>
      </c>
      <c r="AC80" s="200" t="s">
        <v>388</v>
      </c>
      <c r="AD80" s="205"/>
      <c r="AE80" s="206">
        <v>1</v>
      </c>
      <c r="AF80" s="214">
        <v>0</v>
      </c>
      <c r="AG80" s="221"/>
      <c r="AH80" s="222"/>
      <c r="AI80" s="222"/>
      <c r="AJ80" s="222"/>
      <c r="AK80" s="222"/>
      <c r="AL80" s="222"/>
      <c r="AM80" s="222"/>
      <c r="AN80" s="222"/>
      <c r="AO80" s="222"/>
      <c r="AP80" s="222" t="str">
        <f>" " &amp; TEXT(AF80,"#0.00%") &amp; " "</f>
        <v xml:space="preserve"> 0.00% </v>
      </c>
      <c r="AQ80" s="222"/>
      <c r="AR80" s="222"/>
      <c r="AS80" s="222"/>
      <c r="AT80" s="222"/>
      <c r="AU80" s="222" t="str">
        <f>"      " &amp; "(Biz. Meta)테스트/안정화" &amp; "(솔루션 R&amp;D팀)" &amp; " " &amp; IF(Q80="","",TEXT(Q80,"M/D-")) &amp; IF(R80="","",TEXT(R80,"M/D")) &amp; " "</f>
        <v xml:space="preserve">      (Biz. Meta)테스트/안정화(솔루션 R&amp;D팀) 11/28-1/6 </v>
      </c>
      <c r="AV80" s="222"/>
      <c r="AW80" s="222"/>
      <c r="AX80" s="222"/>
      <c r="AY80" s="222"/>
      <c r="AZ80" s="222"/>
      <c r="BA80" s="222"/>
      <c r="BB80" s="222"/>
      <c r="BC80" s="222"/>
    </row>
    <row r="81" spans="1:55" ht="12.75" customHeight="1" outlineLevel="2">
      <c r="A81" s="199"/>
      <c r="B81" s="199"/>
      <c r="C81" s="199">
        <v>3</v>
      </c>
      <c r="D81" s="208" t="s">
        <v>395</v>
      </c>
      <c r="E81" s="200"/>
      <c r="F81" s="200"/>
      <c r="G81" s="200" t="s">
        <v>1733</v>
      </c>
      <c r="H81" s="200"/>
      <c r="I81" s="200"/>
      <c r="J81" s="200"/>
      <c r="K81" s="200"/>
      <c r="L81" s="200"/>
      <c r="M81" s="200"/>
      <c r="N81" s="200"/>
      <c r="O81" s="218"/>
      <c r="P81" s="200"/>
      <c r="Q81" s="201">
        <v>44935</v>
      </c>
      <c r="R81" s="201">
        <v>44939</v>
      </c>
      <c r="S81" s="200"/>
      <c r="T81" s="202">
        <v>5</v>
      </c>
      <c r="U81" s="202">
        <v>5</v>
      </c>
      <c r="V81" s="202">
        <v>5</v>
      </c>
      <c r="W81" s="202">
        <v>5</v>
      </c>
      <c r="X81" s="201">
        <v>44935</v>
      </c>
      <c r="Y81" s="201">
        <v>44942</v>
      </c>
      <c r="Z81" s="203">
        <v>6</v>
      </c>
      <c r="AA81" s="204">
        <v>6</v>
      </c>
      <c r="AB81" s="202">
        <v>1</v>
      </c>
      <c r="AC81" s="200" t="s">
        <v>388</v>
      </c>
      <c r="AD81" s="205"/>
      <c r="AE81" s="206">
        <v>1</v>
      </c>
      <c r="AF81" s="214">
        <v>0</v>
      </c>
      <c r="AG81" s="221"/>
      <c r="AH81" s="222"/>
      <c r="AI81" s="222"/>
      <c r="AJ81" s="222"/>
      <c r="AK81" s="222"/>
      <c r="AL81" s="222"/>
      <c r="AM81" s="222"/>
      <c r="AN81" s="222"/>
      <c r="AO81" s="222"/>
      <c r="AP81" s="222"/>
      <c r="AQ81" s="222"/>
      <c r="AR81" s="222"/>
      <c r="AS81" s="222"/>
      <c r="AT81" s="222"/>
      <c r="AU81" s="222"/>
      <c r="AV81" s="222" t="str">
        <f>" " &amp; TEXT(AF81,"#0.00%") &amp; " " &amp; "(Biz. Meta)SMeta 패치" &amp; "(솔루션 R&amp;D팀)" &amp; " " &amp; IF(Q81="","",TEXT(Q81,"M/D-")) &amp; IF(R81="","",TEXT(R81,"M/D")) &amp; " "</f>
        <v xml:space="preserve"> 0.00% (Biz. Meta)SMeta 패치(솔루션 R&amp;D팀) 1/9-1/13 </v>
      </c>
      <c r="AW81" s="222"/>
      <c r="AX81" s="222"/>
      <c r="AY81" s="222"/>
      <c r="AZ81" s="222"/>
      <c r="BA81" s="222"/>
      <c r="BB81" s="222"/>
      <c r="BC81" s="222"/>
    </row>
    <row r="82" spans="1:55" ht="12.75" customHeight="1" outlineLevel="2">
      <c r="A82" s="199"/>
      <c r="B82" s="199"/>
      <c r="C82" s="199">
        <v>3</v>
      </c>
      <c r="D82" s="208" t="s">
        <v>398</v>
      </c>
      <c r="E82" s="200"/>
      <c r="F82" s="200"/>
      <c r="G82" s="200" t="s">
        <v>1734</v>
      </c>
      <c r="H82" s="200"/>
      <c r="I82" s="200"/>
      <c r="J82" s="200"/>
      <c r="K82" s="200"/>
      <c r="L82" s="200"/>
      <c r="M82" s="200"/>
      <c r="N82" s="200"/>
      <c r="O82" s="218"/>
      <c r="P82" s="200"/>
      <c r="Q82" s="201">
        <v>44942</v>
      </c>
      <c r="R82" s="201">
        <v>44946</v>
      </c>
      <c r="S82" s="200"/>
      <c r="T82" s="202">
        <v>5</v>
      </c>
      <c r="U82" s="202">
        <v>5</v>
      </c>
      <c r="V82" s="202">
        <v>5</v>
      </c>
      <c r="W82" s="202">
        <v>5</v>
      </c>
      <c r="X82" s="201">
        <v>44942</v>
      </c>
      <c r="Y82" s="201">
        <v>44946</v>
      </c>
      <c r="Z82" s="203">
        <v>5</v>
      </c>
      <c r="AA82" s="204">
        <v>5</v>
      </c>
      <c r="AB82" s="202">
        <v>1</v>
      </c>
      <c r="AC82" s="200" t="s">
        <v>388</v>
      </c>
      <c r="AD82" s="205" t="s">
        <v>1732</v>
      </c>
      <c r="AE82" s="206">
        <v>1</v>
      </c>
      <c r="AF82" s="214">
        <v>0</v>
      </c>
      <c r="AG82" s="221"/>
      <c r="AH82" s="222"/>
      <c r="AI82" s="222"/>
      <c r="AJ82" s="222"/>
      <c r="AK82" s="222"/>
      <c r="AL82" s="222"/>
      <c r="AM82" s="222"/>
      <c r="AN82" s="222"/>
      <c r="AO82" s="222"/>
      <c r="AP82" s="222"/>
      <c r="AQ82" s="222"/>
      <c r="AR82" s="222"/>
      <c r="AS82" s="222"/>
      <c r="AT82" s="222"/>
      <c r="AU82" s="222"/>
      <c r="AV82" s="222"/>
      <c r="AW82" s="222" t="str">
        <f>" " &amp; TEXT(AF82,"#0.00%") &amp; " " &amp; "(Biz. Meta)SMeta 적용 테스트" &amp; "(솔루션 R&amp;D팀)" &amp; " " &amp; IF(Q82="","",TEXT(Q82,"M/D-")) &amp; IF(R82="","",TEXT(R82,"M/D")) &amp; " "</f>
        <v xml:space="preserve"> 0.00% (Biz. Meta)SMeta 적용 테스트(솔루션 R&amp;D팀) 1/16-1/20 </v>
      </c>
      <c r="AX82" s="222"/>
      <c r="AY82" s="222"/>
      <c r="AZ82" s="222"/>
      <c r="BA82" s="222"/>
      <c r="BB82" s="222"/>
      <c r="BC82" s="222"/>
    </row>
    <row r="83" spans="1:55" ht="12.75" customHeight="1" outlineLevel="2">
      <c r="A83" s="199"/>
      <c r="B83" s="199"/>
      <c r="C83" s="199">
        <v>3</v>
      </c>
      <c r="D83" s="208" t="s">
        <v>1698</v>
      </c>
      <c r="E83" s="200"/>
      <c r="F83" s="200"/>
      <c r="G83" s="200" t="s">
        <v>396</v>
      </c>
      <c r="H83" s="200"/>
      <c r="I83" s="200"/>
      <c r="J83" s="200"/>
      <c r="K83" s="200"/>
      <c r="L83" s="200"/>
      <c r="M83" s="200"/>
      <c r="N83" s="200"/>
      <c r="O83" s="218"/>
      <c r="P83" s="200"/>
      <c r="Q83" s="201">
        <v>44935</v>
      </c>
      <c r="R83" s="201">
        <v>44981</v>
      </c>
      <c r="S83" s="200"/>
      <c r="T83" s="202">
        <v>33</v>
      </c>
      <c r="U83" s="202">
        <v>27</v>
      </c>
      <c r="V83" s="202">
        <v>33</v>
      </c>
      <c r="W83" s="202">
        <v>27</v>
      </c>
      <c r="X83" s="201">
        <v>44935</v>
      </c>
      <c r="Y83" s="201"/>
      <c r="Z83" s="203">
        <v>-32094</v>
      </c>
      <c r="AA83" s="204">
        <v>0</v>
      </c>
      <c r="AB83" s="202">
        <v>1</v>
      </c>
      <c r="AC83" s="200" t="s">
        <v>388</v>
      </c>
      <c r="AD83" s="212" t="s">
        <v>397</v>
      </c>
      <c r="AE83" s="206">
        <v>0.81818181818181823</v>
      </c>
      <c r="AF83" s="214">
        <v>0</v>
      </c>
      <c r="AG83" s="221"/>
      <c r="AH83" s="222"/>
      <c r="AI83" s="222"/>
      <c r="AJ83" s="222"/>
      <c r="AK83" s="222"/>
      <c r="AL83" s="222"/>
      <c r="AM83" s="222"/>
      <c r="AN83" s="222"/>
      <c r="AO83" s="222"/>
      <c r="AP83" s="222"/>
      <c r="AQ83" s="222"/>
      <c r="AR83" s="222"/>
      <c r="AS83" s="222"/>
      <c r="AT83" s="222"/>
      <c r="AU83" s="222"/>
      <c r="AV83" s="222" t="str">
        <f>" " &amp; TEXT(AF83,"#0.00%") &amp; " "</f>
        <v xml:space="preserve"> 0.00% </v>
      </c>
      <c r="AW83" s="222"/>
      <c r="AX83" s="222"/>
      <c r="AY83" s="222"/>
      <c r="AZ83" s="222"/>
      <c r="BA83" s="222"/>
      <c r="BB83" s="222" t="str">
        <f>"      " &amp; "(SMETA/SDQ/SPORTAL)운영 안정화" &amp; "(솔루션 R&amp;D팀)" &amp; " " &amp; IF(Q83="","",TEXT(Q83,"M/D-")) &amp; IF(R83="","",TEXT(R83,"M/D")) &amp; " "</f>
        <v xml:space="preserve">      (SMETA/SDQ/SPORTAL)운영 안정화(솔루션 R&amp;D팀) 1/9-2/24 </v>
      </c>
      <c r="BC83" s="222"/>
    </row>
    <row r="84" spans="1:55" ht="12.75" customHeight="1" outlineLevel="2">
      <c r="A84" s="199"/>
      <c r="B84" s="199"/>
      <c r="C84" s="199">
        <v>3</v>
      </c>
      <c r="D84" s="208" t="s">
        <v>1699</v>
      </c>
      <c r="E84" s="200"/>
      <c r="F84" s="200"/>
      <c r="G84" s="200" t="s">
        <v>1749</v>
      </c>
      <c r="H84" s="200"/>
      <c r="I84" s="200"/>
      <c r="J84" s="200"/>
      <c r="K84" s="200"/>
      <c r="L84" s="200"/>
      <c r="M84" s="200"/>
      <c r="N84" s="200"/>
      <c r="O84" s="218"/>
      <c r="P84" s="200"/>
      <c r="Q84" s="201">
        <v>44963</v>
      </c>
      <c r="R84" s="201">
        <v>44967</v>
      </c>
      <c r="S84" s="200"/>
      <c r="T84" s="202">
        <v>5</v>
      </c>
      <c r="U84" s="202">
        <v>5</v>
      </c>
      <c r="V84" s="202">
        <v>5</v>
      </c>
      <c r="W84" s="202">
        <v>5</v>
      </c>
      <c r="X84" s="201">
        <v>44967</v>
      </c>
      <c r="Y84" s="201"/>
      <c r="Z84" s="203">
        <v>-32116</v>
      </c>
      <c r="AA84" s="204">
        <v>0</v>
      </c>
      <c r="AB84" s="202">
        <v>1</v>
      </c>
      <c r="AC84" s="200" t="s">
        <v>388</v>
      </c>
      <c r="AD84" s="212"/>
      <c r="AE84" s="206">
        <v>1</v>
      </c>
      <c r="AF84" s="214">
        <v>0</v>
      </c>
      <c r="AG84" s="221"/>
      <c r="AH84" s="222"/>
      <c r="AI84" s="222"/>
      <c r="AJ84" s="222"/>
      <c r="AK84" s="222"/>
      <c r="AL84" s="222"/>
      <c r="AM84" s="222"/>
      <c r="AN84" s="222"/>
      <c r="AO84" s="222"/>
      <c r="AP84" s="222"/>
      <c r="AQ84" s="222"/>
      <c r="AR84" s="222"/>
      <c r="AS84" s="222"/>
      <c r="AT84" s="222"/>
      <c r="AU84" s="222"/>
      <c r="AV84" s="222"/>
      <c r="AW84" s="222"/>
      <c r="AX84" s="222"/>
      <c r="AY84" s="222"/>
      <c r="AZ84" s="222" t="str">
        <f>" " &amp; TEXT(AF84,"#0.00%") &amp; " " &amp; "(교육)SMeta사용자/관리자 교육" &amp; "(솔루션 R&amp;D팀)" &amp; " " &amp; IF(Q84="","",TEXT(Q84,"M/D-")) &amp; IF(R84="","",TEXT(R84,"M/D")) &amp; " "</f>
        <v xml:space="preserve"> 0.00% (교육)SMeta사용자/관리자 교육(솔루션 R&amp;D팀) 2/6-2/10 </v>
      </c>
      <c r="BA84" s="222"/>
      <c r="BB84" s="222"/>
      <c r="BC84" s="222"/>
    </row>
    <row r="85" spans="1:55" ht="12.75" customHeight="1" outlineLevel="2">
      <c r="A85" s="199"/>
      <c r="B85" s="199"/>
      <c r="C85" s="199">
        <v>3</v>
      </c>
      <c r="D85" s="208" t="s">
        <v>1700</v>
      </c>
      <c r="E85" s="200"/>
      <c r="F85" s="200"/>
      <c r="G85" s="200" t="s">
        <v>1750</v>
      </c>
      <c r="H85" s="200"/>
      <c r="I85" s="200"/>
      <c r="J85" s="200"/>
      <c r="K85" s="200"/>
      <c r="L85" s="200"/>
      <c r="M85" s="200"/>
      <c r="N85" s="200"/>
      <c r="O85" s="218"/>
      <c r="P85" s="200"/>
      <c r="Q85" s="201">
        <v>44963</v>
      </c>
      <c r="R85" s="201">
        <v>44967</v>
      </c>
      <c r="S85" s="200"/>
      <c r="T85" s="202">
        <v>5</v>
      </c>
      <c r="U85" s="202">
        <v>5</v>
      </c>
      <c r="V85" s="202">
        <v>5</v>
      </c>
      <c r="W85" s="202">
        <v>5</v>
      </c>
      <c r="X85" s="201">
        <v>44967</v>
      </c>
      <c r="Y85" s="201"/>
      <c r="Z85" s="203">
        <v>-32116</v>
      </c>
      <c r="AA85" s="204">
        <v>0</v>
      </c>
      <c r="AB85" s="202">
        <v>1</v>
      </c>
      <c r="AC85" s="200" t="s">
        <v>388</v>
      </c>
      <c r="AD85" s="212"/>
      <c r="AE85" s="206">
        <v>1</v>
      </c>
      <c r="AF85" s="214">
        <v>0</v>
      </c>
      <c r="AG85" s="221"/>
      <c r="AH85" s="222"/>
      <c r="AI85" s="222"/>
      <c r="AJ85" s="222"/>
      <c r="AK85" s="222"/>
      <c r="AL85" s="222"/>
      <c r="AM85" s="222"/>
      <c r="AN85" s="222"/>
      <c r="AO85" s="222"/>
      <c r="AP85" s="222"/>
      <c r="AQ85" s="222"/>
      <c r="AR85" s="222"/>
      <c r="AS85" s="222"/>
      <c r="AT85" s="222"/>
      <c r="AU85" s="222"/>
      <c r="AV85" s="222"/>
      <c r="AW85" s="222"/>
      <c r="AX85" s="222"/>
      <c r="AY85" s="222"/>
      <c r="AZ85" s="222" t="str">
        <f>" " &amp; TEXT(AF85,"#0.00%") &amp; " " &amp; "(교육)SDQ 사용자/관리자 교육" &amp; "(솔루션 R&amp;D팀)" &amp; " " &amp; IF(Q85="","",TEXT(Q85,"M/D-")) &amp; IF(R85="","",TEXT(R85,"M/D")) &amp; " "</f>
        <v xml:space="preserve"> 0.00% (교육)SDQ 사용자/관리자 교육(솔루션 R&amp;D팀) 2/6-2/10 </v>
      </c>
      <c r="BA85" s="222"/>
      <c r="BB85" s="222"/>
      <c r="BC85" s="222"/>
    </row>
    <row r="86" spans="1:55" ht="12.75" customHeight="1" outlineLevel="2">
      <c r="A86" s="199"/>
      <c r="B86" s="199"/>
      <c r="C86" s="199">
        <v>3</v>
      </c>
      <c r="D86" s="208" t="s">
        <v>1701</v>
      </c>
      <c r="E86" s="200"/>
      <c r="F86" s="200"/>
      <c r="G86" s="200" t="s">
        <v>1751</v>
      </c>
      <c r="H86" s="200"/>
      <c r="I86" s="200"/>
      <c r="J86" s="200"/>
      <c r="K86" s="200"/>
      <c r="L86" s="200"/>
      <c r="M86" s="200"/>
      <c r="N86" s="200"/>
      <c r="O86" s="218"/>
      <c r="P86" s="200"/>
      <c r="Q86" s="201">
        <v>44963</v>
      </c>
      <c r="R86" s="201">
        <v>44967</v>
      </c>
      <c r="S86" s="200"/>
      <c r="T86" s="202">
        <v>5</v>
      </c>
      <c r="U86" s="202">
        <v>5</v>
      </c>
      <c r="V86" s="202">
        <v>5</v>
      </c>
      <c r="W86" s="202">
        <v>5</v>
      </c>
      <c r="X86" s="201">
        <v>44967</v>
      </c>
      <c r="Y86" s="201"/>
      <c r="Z86" s="203">
        <v>-32116</v>
      </c>
      <c r="AA86" s="204">
        <v>0</v>
      </c>
      <c r="AB86" s="202">
        <v>1</v>
      </c>
      <c r="AC86" s="200" t="s">
        <v>388</v>
      </c>
      <c r="AD86" s="212"/>
      <c r="AE86" s="206">
        <v>1</v>
      </c>
      <c r="AF86" s="214">
        <v>0</v>
      </c>
      <c r="AG86" s="221"/>
      <c r="AH86" s="222"/>
      <c r="AI86" s="222"/>
      <c r="AJ86" s="222"/>
      <c r="AK86" s="222"/>
      <c r="AL86" s="222"/>
      <c r="AM86" s="222"/>
      <c r="AN86" s="222"/>
      <c r="AO86" s="222"/>
      <c r="AP86" s="222"/>
      <c r="AQ86" s="222"/>
      <c r="AR86" s="222"/>
      <c r="AS86" s="222"/>
      <c r="AT86" s="222"/>
      <c r="AU86" s="222"/>
      <c r="AV86" s="222"/>
      <c r="AW86" s="222"/>
      <c r="AX86" s="222"/>
      <c r="AY86" s="222"/>
      <c r="AZ86" s="222" t="str">
        <f>" " &amp; TEXT(AF86,"#0.00%") &amp; " " &amp; "(교육)Biz Meta사용자교육(현업)" &amp; "(솔루션 R&amp;D팀)" &amp; " " &amp; IF(Q86="","",TEXT(Q86,"M/D-")) &amp; IF(R86="","",TEXT(R86,"M/D")) &amp; " "</f>
        <v xml:space="preserve"> 0.00% (교육)Biz Meta사용자교육(현업)(솔루션 R&amp;D팀) 2/6-2/10 </v>
      </c>
      <c r="BA86" s="222"/>
      <c r="BB86" s="222"/>
      <c r="BC86" s="222"/>
    </row>
    <row r="87" spans="1:55" ht="12.75" customHeight="1" outlineLevel="2">
      <c r="A87" s="199"/>
      <c r="B87" s="199"/>
      <c r="C87" s="199">
        <v>3</v>
      </c>
      <c r="D87" s="208" t="s">
        <v>1702</v>
      </c>
      <c r="E87" s="200"/>
      <c r="F87" s="200"/>
      <c r="G87" s="200" t="s">
        <v>1692</v>
      </c>
      <c r="H87" s="200"/>
      <c r="I87" s="200"/>
      <c r="J87" s="200"/>
      <c r="K87" s="200"/>
      <c r="L87" s="200"/>
      <c r="M87" s="200"/>
      <c r="N87" s="200"/>
      <c r="O87" s="218"/>
      <c r="P87" s="200"/>
      <c r="Q87" s="201">
        <v>44830</v>
      </c>
      <c r="R87" s="201">
        <v>44834</v>
      </c>
      <c r="S87" s="200"/>
      <c r="T87" s="202">
        <v>5</v>
      </c>
      <c r="U87" s="202">
        <v>5</v>
      </c>
      <c r="V87" s="202">
        <v>5</v>
      </c>
      <c r="W87" s="202">
        <v>5</v>
      </c>
      <c r="X87" s="201">
        <v>44830</v>
      </c>
      <c r="Y87" s="201">
        <v>44834</v>
      </c>
      <c r="Z87" s="203">
        <v>5</v>
      </c>
      <c r="AA87" s="204">
        <v>5</v>
      </c>
      <c r="AB87" s="202">
        <v>1</v>
      </c>
      <c r="AC87" s="200" t="s">
        <v>388</v>
      </c>
      <c r="AD87" s="205"/>
      <c r="AE87" s="206">
        <v>1</v>
      </c>
      <c r="AF87" s="214">
        <v>0</v>
      </c>
      <c r="AG87" s="221" t="str">
        <f>" " &amp; TEXT(AF87,"#0.00%") &amp; " " &amp; "(Data Lineage) 아키텍처 설계" &amp; "(솔루션 R&amp;D팀)" &amp; " " &amp; IF(Q87="","",TEXT(Q87,"M/D-")) &amp; IF(R87="","",TEXT(R87,"M/D")) &amp; " "</f>
        <v xml:space="preserve"> 0.00% (Data Lineage) 아키텍처 설계(솔루션 R&amp;D팀) 9/26-9/30 </v>
      </c>
      <c r="AH87" s="222"/>
      <c r="AI87" s="222"/>
      <c r="AJ87" s="222"/>
      <c r="AK87" s="222"/>
      <c r="AL87" s="222"/>
      <c r="AM87" s="222"/>
      <c r="AN87" s="222"/>
      <c r="AO87" s="222"/>
      <c r="AP87" s="222"/>
      <c r="AQ87" s="222"/>
      <c r="AR87" s="222"/>
      <c r="AS87" s="222"/>
      <c r="AT87" s="222"/>
      <c r="AU87" s="222"/>
      <c r="AV87" s="222"/>
      <c r="AW87" s="222"/>
      <c r="AX87" s="222"/>
      <c r="AY87" s="222"/>
      <c r="AZ87" s="222"/>
      <c r="BA87" s="222"/>
      <c r="BB87" s="222"/>
      <c r="BC87" s="222"/>
    </row>
    <row r="88" spans="1:55" ht="12.75" customHeight="1" outlineLevel="2">
      <c r="A88" s="199"/>
      <c r="B88" s="199"/>
      <c r="C88" s="199">
        <v>3</v>
      </c>
      <c r="D88" s="208" t="s">
        <v>1705</v>
      </c>
      <c r="E88" s="200"/>
      <c r="F88" s="200"/>
      <c r="G88" s="200" t="s">
        <v>1693</v>
      </c>
      <c r="H88" s="200"/>
      <c r="I88" s="200"/>
      <c r="J88" s="200"/>
      <c r="K88" s="200"/>
      <c r="L88" s="200"/>
      <c r="M88" s="200"/>
      <c r="N88" s="200"/>
      <c r="O88" s="218"/>
      <c r="P88" s="200"/>
      <c r="Q88" s="201">
        <v>44838</v>
      </c>
      <c r="R88" s="201">
        <v>44939</v>
      </c>
      <c r="S88" s="200"/>
      <c r="T88" s="202">
        <v>73</v>
      </c>
      <c r="U88" s="202">
        <v>73</v>
      </c>
      <c r="V88" s="202">
        <v>73</v>
      </c>
      <c r="W88" s="202">
        <v>73</v>
      </c>
      <c r="X88" s="201">
        <v>44838</v>
      </c>
      <c r="Y88" s="201"/>
      <c r="Z88" s="203">
        <v>-32026</v>
      </c>
      <c r="AA88" s="204">
        <v>0</v>
      </c>
      <c r="AB88" s="202">
        <v>1</v>
      </c>
      <c r="AC88" s="200" t="s">
        <v>388</v>
      </c>
      <c r="AD88" s="205"/>
      <c r="AE88" s="206">
        <v>1</v>
      </c>
      <c r="AF88" s="214">
        <v>0</v>
      </c>
      <c r="AG88" s="221"/>
      <c r="AH88" s="222" t="str">
        <f>"  " &amp; TEXT(AF88,"#0.00%") &amp; " "</f>
        <v xml:space="preserve">  0.00% </v>
      </c>
      <c r="AI88" s="222"/>
      <c r="AJ88" s="222"/>
      <c r="AK88" s="222"/>
      <c r="AL88" s="222"/>
      <c r="AM88" s="222"/>
      <c r="AN88" s="222"/>
      <c r="AO88" s="222"/>
      <c r="AP88" s="222"/>
      <c r="AQ88" s="222"/>
      <c r="AR88" s="222"/>
      <c r="AS88" s="222"/>
      <c r="AT88" s="222"/>
      <c r="AU88" s="222"/>
      <c r="AV88" s="222" t="str">
        <f>"      " &amp; "(Data Lineage) Ingest Adaptor 설계/개발" &amp; "(솔루션 R&amp;D팀)" &amp; " " &amp; IF(Q88="","",TEXT(Q88,"M/D-")) &amp; IF(R88="","",TEXT(R88,"M/D")) &amp; " "</f>
        <v xml:space="preserve">      (Data Lineage) Ingest Adaptor 설계/개발(솔루션 R&amp;D팀) 10/4-1/13 </v>
      </c>
      <c r="AW88" s="222"/>
      <c r="AX88" s="222"/>
      <c r="AY88" s="222"/>
      <c r="AZ88" s="222"/>
      <c r="BA88" s="222"/>
      <c r="BB88" s="222"/>
      <c r="BC88" s="222"/>
    </row>
    <row r="89" spans="1:55" ht="12.75" customHeight="1" outlineLevel="2">
      <c r="A89" s="199"/>
      <c r="B89" s="199"/>
      <c r="C89" s="199">
        <v>3</v>
      </c>
      <c r="D89" s="208" t="s">
        <v>1706</v>
      </c>
      <c r="E89" s="200"/>
      <c r="F89" s="200"/>
      <c r="G89" s="200" t="s">
        <v>1694</v>
      </c>
      <c r="H89" s="200"/>
      <c r="I89" s="200"/>
      <c r="J89" s="200"/>
      <c r="K89" s="200"/>
      <c r="L89" s="200"/>
      <c r="M89" s="200"/>
      <c r="N89" s="200"/>
      <c r="O89" s="218"/>
      <c r="P89" s="200"/>
      <c r="Q89" s="201">
        <v>44858</v>
      </c>
      <c r="R89" s="201">
        <v>44953</v>
      </c>
      <c r="S89" s="200"/>
      <c r="T89" s="202">
        <v>68</v>
      </c>
      <c r="U89" s="202">
        <v>68</v>
      </c>
      <c r="V89" s="202">
        <v>68</v>
      </c>
      <c r="W89" s="202">
        <v>68</v>
      </c>
      <c r="X89" s="201">
        <v>44858</v>
      </c>
      <c r="Y89" s="201"/>
      <c r="Z89" s="203">
        <v>-32039</v>
      </c>
      <c r="AA89" s="204">
        <v>0</v>
      </c>
      <c r="AB89" s="202">
        <v>1</v>
      </c>
      <c r="AC89" s="200" t="s">
        <v>388</v>
      </c>
      <c r="AD89" s="205"/>
      <c r="AE89" s="206">
        <v>1</v>
      </c>
      <c r="AF89" s="214">
        <v>0</v>
      </c>
      <c r="AG89" s="221"/>
      <c r="AH89" s="222"/>
      <c r="AI89" s="222"/>
      <c r="AJ89" s="222"/>
      <c r="AK89" s="222" t="str">
        <f>" " &amp; TEXT(AF89,"#0.00%") &amp; " "</f>
        <v xml:space="preserve"> 0.00% </v>
      </c>
      <c r="AL89" s="222"/>
      <c r="AM89" s="222"/>
      <c r="AN89" s="222"/>
      <c r="AO89" s="222"/>
      <c r="AP89" s="222"/>
      <c r="AQ89" s="222"/>
      <c r="AR89" s="222"/>
      <c r="AS89" s="222"/>
      <c r="AT89" s="222"/>
      <c r="AU89" s="222"/>
      <c r="AV89" s="222"/>
      <c r="AW89" s="222"/>
      <c r="AX89" s="222" t="str">
        <f>"      " &amp; "(Data Lineage) Core Module 설계/개발" &amp; "(솔루션 R&amp;D팀)" &amp; " " &amp; IF(Q89="","",TEXT(Q89,"M/D-")) &amp; IF(R89="","",TEXT(R89,"M/D")) &amp; " "</f>
        <v xml:space="preserve">      (Data Lineage) Core Module 설계/개발(솔루션 R&amp;D팀) 10/24-1/27 </v>
      </c>
      <c r="AY89" s="222"/>
      <c r="AZ89" s="222"/>
      <c r="BA89" s="222"/>
      <c r="BB89" s="222"/>
      <c r="BC89" s="222"/>
    </row>
    <row r="90" spans="1:55" ht="12.75" customHeight="1" outlineLevel="2">
      <c r="A90" s="199"/>
      <c r="B90" s="199"/>
      <c r="C90" s="199">
        <v>3</v>
      </c>
      <c r="D90" s="208" t="s">
        <v>1730</v>
      </c>
      <c r="E90" s="200"/>
      <c r="F90" s="200"/>
      <c r="G90" s="200" t="s">
        <v>1695</v>
      </c>
      <c r="H90" s="200"/>
      <c r="I90" s="200"/>
      <c r="J90" s="200"/>
      <c r="K90" s="200"/>
      <c r="L90" s="200"/>
      <c r="M90" s="200"/>
      <c r="N90" s="200"/>
      <c r="O90" s="218"/>
      <c r="P90" s="200"/>
      <c r="Q90" s="201">
        <v>44942</v>
      </c>
      <c r="R90" s="201">
        <v>44967</v>
      </c>
      <c r="S90" s="200"/>
      <c r="T90" s="202">
        <v>18</v>
      </c>
      <c r="U90" s="202">
        <v>18</v>
      </c>
      <c r="V90" s="202">
        <v>18</v>
      </c>
      <c r="W90" s="202">
        <v>18</v>
      </c>
      <c r="X90" s="201">
        <v>44942</v>
      </c>
      <c r="Y90" s="201"/>
      <c r="Z90" s="203">
        <v>-32099</v>
      </c>
      <c r="AA90" s="204">
        <v>0</v>
      </c>
      <c r="AB90" s="202">
        <v>1</v>
      </c>
      <c r="AC90" s="200" t="s">
        <v>388</v>
      </c>
      <c r="AD90" s="205"/>
      <c r="AE90" s="206">
        <v>1</v>
      </c>
      <c r="AF90" s="214">
        <v>0</v>
      </c>
      <c r="AG90" s="221"/>
      <c r="AH90" s="222"/>
      <c r="AI90" s="222"/>
      <c r="AJ90" s="222"/>
      <c r="AK90" s="222"/>
      <c r="AL90" s="222"/>
      <c r="AM90" s="222"/>
      <c r="AN90" s="222"/>
      <c r="AO90" s="222"/>
      <c r="AP90" s="222"/>
      <c r="AQ90" s="222"/>
      <c r="AR90" s="222"/>
      <c r="AS90" s="222"/>
      <c r="AT90" s="222"/>
      <c r="AU90" s="222"/>
      <c r="AV90" s="222"/>
      <c r="AW90" s="222" t="str">
        <f>" " &amp; TEXT(AF90,"#0.00%") &amp; " "</f>
        <v xml:space="preserve"> 0.00% </v>
      </c>
      <c r="AX90" s="222"/>
      <c r="AY90" s="222"/>
      <c r="AZ90" s="222" t="str">
        <f>"      " &amp; "(Data Lineage) 단위/연계 테스트" &amp; "(솔루션 R&amp;D팀)" &amp; " " &amp; IF(Q90="","",TEXT(Q90,"M/D-")) &amp; IF(R90="","",TEXT(R90,"M/D")) &amp; " "</f>
        <v xml:space="preserve">      (Data Lineage) 단위/연계 테스트(솔루션 R&amp;D팀) 1/16-2/10 </v>
      </c>
      <c r="BA90" s="222"/>
      <c r="BB90" s="222"/>
      <c r="BC90" s="222"/>
    </row>
    <row r="91" spans="1:55" ht="12.75" customHeight="1" outlineLevel="2">
      <c r="A91" s="199"/>
      <c r="B91" s="199"/>
      <c r="C91" s="199">
        <v>3</v>
      </c>
      <c r="D91" s="208" t="s">
        <v>1731</v>
      </c>
      <c r="E91" s="200"/>
      <c r="F91" s="200"/>
      <c r="G91" s="200" t="s">
        <v>1696</v>
      </c>
      <c r="H91" s="200"/>
      <c r="I91" s="200"/>
      <c r="J91" s="200"/>
      <c r="K91" s="200"/>
      <c r="L91" s="200"/>
      <c r="M91" s="200"/>
      <c r="N91" s="200"/>
      <c r="O91" s="218"/>
      <c r="P91" s="200"/>
      <c r="Q91" s="201">
        <v>44970</v>
      </c>
      <c r="R91" s="201">
        <v>44981</v>
      </c>
      <c r="S91" s="200"/>
      <c r="T91" s="202">
        <v>10</v>
      </c>
      <c r="U91" s="202">
        <v>4</v>
      </c>
      <c r="V91" s="202">
        <v>10</v>
      </c>
      <c r="W91" s="202">
        <v>4</v>
      </c>
      <c r="X91" s="201"/>
      <c r="Y91" s="201"/>
      <c r="Z91" s="203"/>
      <c r="AA91" s="204">
        <v>0</v>
      </c>
      <c r="AB91" s="202">
        <v>1</v>
      </c>
      <c r="AC91" s="200" t="s">
        <v>388</v>
      </c>
      <c r="AD91" s="205" t="s">
        <v>1697</v>
      </c>
      <c r="AE91" s="206">
        <v>0.4</v>
      </c>
      <c r="AF91" s="214">
        <v>0</v>
      </c>
      <c r="AG91" s="221"/>
      <c r="AH91" s="222"/>
      <c r="AI91" s="222"/>
      <c r="AJ91" s="222"/>
      <c r="AK91" s="222"/>
      <c r="AL91" s="222"/>
      <c r="AM91" s="222"/>
      <c r="AN91" s="222"/>
      <c r="AO91" s="222"/>
      <c r="AP91" s="222"/>
      <c r="AQ91" s="222"/>
      <c r="AR91" s="222"/>
      <c r="AS91" s="222"/>
      <c r="AT91" s="222"/>
      <c r="AU91" s="222"/>
      <c r="AV91" s="222"/>
      <c r="AW91" s="222"/>
      <c r="AX91" s="222"/>
      <c r="AY91" s="222"/>
      <c r="AZ91" s="222"/>
      <c r="BA91" s="222" t="str">
        <f>" " &amp; TEXT(AF91,"#0.00%") &amp; " " &amp; "(Data Lineage) 프로토타입 1차 적용/테스트" &amp; "(솔루션 R&amp;D팀)" &amp; " " &amp; IF(Q91="","",TEXT(Q91,"M/D-")) &amp; IF(R91="","",TEXT(R91,"M/D")) &amp; " "</f>
        <v xml:space="preserve"> 0.00% (Data Lineage) 프로토타입 1차 적용/테스트(솔루션 R&amp;D팀) 2/13-2/24 </v>
      </c>
      <c r="BB91" s="222"/>
      <c r="BC91" s="222"/>
    </row>
    <row r="92" spans="1:55" ht="12.75" customHeight="1" outlineLevel="2">
      <c r="A92" s="199"/>
      <c r="B92" s="199"/>
      <c r="C92" s="199">
        <v>3</v>
      </c>
      <c r="D92" s="208" t="s">
        <v>1738</v>
      </c>
      <c r="E92" s="200"/>
      <c r="F92" s="200"/>
      <c r="G92" s="200" t="s">
        <v>1704</v>
      </c>
      <c r="H92" s="200"/>
      <c r="I92" s="200"/>
      <c r="J92" s="200"/>
      <c r="K92" s="200"/>
      <c r="L92" s="200"/>
      <c r="M92" s="200"/>
      <c r="N92" s="200"/>
      <c r="O92" s="218"/>
      <c r="P92" s="200"/>
      <c r="Q92" s="201">
        <v>44935</v>
      </c>
      <c r="R92" s="201">
        <v>44974</v>
      </c>
      <c r="S92" s="200"/>
      <c r="T92" s="202">
        <v>28</v>
      </c>
      <c r="U92" s="202">
        <v>27</v>
      </c>
      <c r="V92" s="202">
        <v>28</v>
      </c>
      <c r="W92" s="202">
        <v>27</v>
      </c>
      <c r="X92" s="201">
        <v>44935</v>
      </c>
      <c r="Y92" s="201">
        <v>44971</v>
      </c>
      <c r="Z92" s="203">
        <v>25</v>
      </c>
      <c r="AA92" s="204">
        <v>25</v>
      </c>
      <c r="AB92" s="202">
        <v>1</v>
      </c>
      <c r="AC92" s="200" t="s">
        <v>388</v>
      </c>
      <c r="AD92" s="205"/>
      <c r="AE92" s="206">
        <v>0.9642857142857143</v>
      </c>
      <c r="AF92" s="214">
        <v>0</v>
      </c>
      <c r="AG92" s="221"/>
      <c r="AH92" s="222"/>
      <c r="AI92" s="222"/>
      <c r="AJ92" s="222"/>
      <c r="AK92" s="222"/>
      <c r="AL92" s="222"/>
      <c r="AM92" s="222"/>
      <c r="AN92" s="222"/>
      <c r="AO92" s="222"/>
      <c r="AP92" s="222"/>
      <c r="AQ92" s="222"/>
      <c r="AR92" s="222"/>
      <c r="AS92" s="222"/>
      <c r="AT92" s="222"/>
      <c r="AU92" s="222"/>
      <c r="AV92" s="222" t="str">
        <f>" " &amp; TEXT(AF92,"#0.00%") &amp; " "</f>
        <v xml:space="preserve"> 0.00% </v>
      </c>
      <c r="AW92" s="222"/>
      <c r="AX92" s="222"/>
      <c r="AY92" s="222"/>
      <c r="AZ92" s="222"/>
      <c r="BA92" s="222" t="str">
        <f>"      " &amp; "(타시스템연계) 메타관리시스템 연계" &amp; "(솔루션 R&amp;D팀)" &amp; " " &amp; IF(Q92="","",TEXT(Q92,"M/D-")) &amp; IF(R92="","",TEXT(R92,"M/D")) &amp; " "</f>
        <v xml:space="preserve">      (타시스템연계) 메타관리시스템 연계(솔루션 R&amp;D팀) 1/9-2/17 </v>
      </c>
      <c r="BB92" s="222"/>
      <c r="BC92" s="222"/>
    </row>
    <row r="93" spans="1:55" ht="12.75" customHeight="1" outlineLevel="2">
      <c r="A93" s="199"/>
      <c r="B93" s="199"/>
      <c r="C93" s="199">
        <v>3</v>
      </c>
      <c r="D93" s="208" t="s">
        <v>1739</v>
      </c>
      <c r="E93" s="200"/>
      <c r="F93" s="200"/>
      <c r="G93" s="200" t="s">
        <v>1742</v>
      </c>
      <c r="H93" s="200"/>
      <c r="I93" s="200"/>
      <c r="J93" s="200"/>
      <c r="K93" s="200"/>
      <c r="L93" s="200"/>
      <c r="M93" s="200"/>
      <c r="N93" s="200"/>
      <c r="O93" s="217" t="s">
        <v>1744</v>
      </c>
      <c r="P93" s="200"/>
      <c r="Q93" s="201">
        <v>44942</v>
      </c>
      <c r="R93" s="201">
        <v>44967</v>
      </c>
      <c r="S93" s="200"/>
      <c r="T93" s="202">
        <v>18</v>
      </c>
      <c r="U93" s="202">
        <v>18</v>
      </c>
      <c r="V93" s="202">
        <v>18</v>
      </c>
      <c r="W93" s="202">
        <v>18</v>
      </c>
      <c r="X93" s="201" t="s">
        <v>1740</v>
      </c>
      <c r="Y93" s="201">
        <v>44967</v>
      </c>
      <c r="Z93" s="203" t="e">
        <v>#VALUE!</v>
      </c>
      <c r="AA93" s="204" t="e">
        <v>#VALUE!</v>
      </c>
      <c r="AB93" s="202">
        <v>1</v>
      </c>
      <c r="AC93" s="200" t="s">
        <v>388</v>
      </c>
      <c r="AD93" s="205"/>
      <c r="AE93" s="206">
        <v>1</v>
      </c>
      <c r="AF93" s="214">
        <v>0</v>
      </c>
      <c r="AG93" s="221"/>
      <c r="AH93" s="222"/>
      <c r="AI93" s="222"/>
      <c r="AJ93" s="222"/>
      <c r="AK93" s="222"/>
      <c r="AL93" s="222"/>
      <c r="AM93" s="222"/>
      <c r="AN93" s="222"/>
      <c r="AO93" s="222"/>
      <c r="AP93" s="222"/>
      <c r="AQ93" s="222"/>
      <c r="AR93" s="222"/>
      <c r="AS93" s="222"/>
      <c r="AT93" s="222"/>
      <c r="AU93" s="222"/>
      <c r="AV93" s="222"/>
      <c r="AW93" s="222" t="str">
        <f>" " &amp; TEXT(AF93,"#0.00%") &amp; " "</f>
        <v xml:space="preserve"> 0.00% </v>
      </c>
      <c r="AX93" s="222"/>
      <c r="AY93" s="222"/>
      <c r="AZ93" s="222" t="str">
        <f>"      " &amp; "(SSO연계)개발 및 내부테스트" &amp; "(솔루션 R&amp;D팀)" &amp; " " &amp; IF(Q93="","",TEXT(Q93,"M/D-")) &amp; IF(R93="","",TEXT(R93,"M/D")) &amp; " "</f>
        <v xml:space="preserve">      (SSO연계)개발 및 내부테스트(솔루션 R&amp;D팀) 1/16-2/10 </v>
      </c>
      <c r="BA93" s="222"/>
      <c r="BB93" s="222"/>
      <c r="BC93" s="222"/>
    </row>
    <row r="94" spans="1:55" ht="12.75" customHeight="1" outlineLevel="2">
      <c r="A94" s="199"/>
      <c r="B94" s="199"/>
      <c r="C94" s="199">
        <v>3</v>
      </c>
      <c r="D94" s="208" t="s">
        <v>1748</v>
      </c>
      <c r="E94" s="200"/>
      <c r="F94" s="200"/>
      <c r="G94" s="200" t="s">
        <v>1741</v>
      </c>
      <c r="H94" s="200"/>
      <c r="I94" s="200"/>
      <c r="J94" s="200"/>
      <c r="K94" s="200"/>
      <c r="L94" s="200"/>
      <c r="M94" s="200"/>
      <c r="N94" s="200"/>
      <c r="O94" s="217" t="s">
        <v>1744</v>
      </c>
      <c r="P94" s="200"/>
      <c r="Q94" s="201">
        <v>44970</v>
      </c>
      <c r="R94" s="201">
        <v>44974</v>
      </c>
      <c r="S94" s="200"/>
      <c r="T94" s="202">
        <v>5</v>
      </c>
      <c r="U94" s="202">
        <v>4</v>
      </c>
      <c r="V94" s="202">
        <v>5</v>
      </c>
      <c r="W94" s="202">
        <v>4</v>
      </c>
      <c r="X94" s="201">
        <v>44970</v>
      </c>
      <c r="Y94" s="201">
        <v>44971</v>
      </c>
      <c r="Z94" s="203">
        <v>2</v>
      </c>
      <c r="AA94" s="204">
        <v>2</v>
      </c>
      <c r="AB94" s="202">
        <v>1</v>
      </c>
      <c r="AC94" s="200" t="s">
        <v>388</v>
      </c>
      <c r="AD94" s="205"/>
      <c r="AE94" s="206">
        <v>0.8</v>
      </c>
      <c r="AF94" s="214">
        <v>0</v>
      </c>
      <c r="AG94" s="221"/>
      <c r="AH94" s="222"/>
      <c r="AI94" s="222"/>
      <c r="AJ94" s="222"/>
      <c r="AK94" s="222"/>
      <c r="AL94" s="222"/>
      <c r="AM94" s="222"/>
      <c r="AN94" s="222"/>
      <c r="AO94" s="222"/>
      <c r="AP94" s="222"/>
      <c r="AQ94" s="222"/>
      <c r="AR94" s="222"/>
      <c r="AS94" s="222"/>
      <c r="AT94" s="222"/>
      <c r="AU94" s="222"/>
      <c r="AV94" s="222"/>
      <c r="AW94" s="222"/>
      <c r="AX94" s="222"/>
      <c r="AY94" s="222"/>
      <c r="AZ94" s="222"/>
      <c r="BA94" s="222" t="str">
        <f>" " &amp; TEXT(AF94,"#0.00%") &amp; " " &amp; "(SSO연계)제품 패치 및 테스트" &amp; "(솔루션 R&amp;D팀)" &amp; " " &amp; IF(Q94="","",TEXT(Q94,"M/D-")) &amp; IF(R94="","",TEXT(R94,"M/D")) &amp; " "</f>
        <v xml:space="preserve"> 0.00% (SSO연계)제품 패치 및 테스트(솔루션 R&amp;D팀) 2/13-2/17 </v>
      </c>
      <c r="BB94" s="222"/>
      <c r="BC94" s="222"/>
    </row>
    <row r="95" spans="1:55" ht="12.75" customHeight="1" outlineLevel="2">
      <c r="A95" s="199"/>
      <c r="B95" s="199"/>
      <c r="C95" s="199">
        <v>3</v>
      </c>
      <c r="D95" s="208" t="s">
        <v>1752</v>
      </c>
      <c r="E95" s="200"/>
      <c r="F95" s="200"/>
      <c r="G95" s="200" t="s">
        <v>1747</v>
      </c>
      <c r="H95" s="200"/>
      <c r="I95" s="200"/>
      <c r="J95" s="200"/>
      <c r="K95" s="200"/>
      <c r="L95" s="200"/>
      <c r="M95" s="200"/>
      <c r="N95" s="200"/>
      <c r="O95" s="200"/>
      <c r="P95" s="200"/>
      <c r="Q95" s="201">
        <v>44979</v>
      </c>
      <c r="R95" s="201">
        <v>44979</v>
      </c>
      <c r="S95" s="200"/>
      <c r="T95" s="202">
        <v>1</v>
      </c>
      <c r="U95" s="202">
        <v>0</v>
      </c>
      <c r="V95" s="202">
        <v>1</v>
      </c>
      <c r="W95" s="202">
        <v>0</v>
      </c>
      <c r="X95" s="201"/>
      <c r="Y95" s="201"/>
      <c r="Z95" s="203"/>
      <c r="AA95" s="204">
        <v>0</v>
      </c>
      <c r="AB95" s="202">
        <v>1</v>
      </c>
      <c r="AC95" s="200" t="s">
        <v>388</v>
      </c>
      <c r="AD95" s="205"/>
      <c r="AE95" s="206">
        <v>0</v>
      </c>
      <c r="AF95" s="207">
        <v>0</v>
      </c>
      <c r="AG95" s="221"/>
      <c r="AH95" s="222"/>
      <c r="AI95" s="222"/>
      <c r="AJ95" s="222"/>
      <c r="AK95" s="222"/>
      <c r="AL95" s="222"/>
      <c r="AM95" s="222"/>
      <c r="AN95" s="222"/>
      <c r="AO95" s="222"/>
      <c r="AP95" s="222"/>
      <c r="AQ95" s="222"/>
      <c r="AR95" s="222"/>
      <c r="AS95" s="222"/>
      <c r="AT95" s="222"/>
      <c r="AU95" s="222"/>
      <c r="AV95" s="222"/>
      <c r="AW95" s="222"/>
      <c r="AX95" s="222"/>
      <c r="AY95" s="222"/>
      <c r="AZ95" s="222"/>
      <c r="BA95" s="222"/>
      <c r="BB95" s="222" t="str">
        <f>"   " &amp; TEXT(AF95,"#0.00%") &amp; " " &amp; "시스템 오픈" &amp; "(솔루션 R&amp;D팀)" &amp; " " &amp; IF(Q95="","",TEXT(Q95,"M/D-")) &amp; IF(R95="","",TEXT(R95,"M/D")) &amp; " "</f>
        <v xml:space="preserve">   0.00% 시스템 오픈(솔루션 R&amp;D팀) 2/22-2/22 </v>
      </c>
      <c r="BC95" s="222"/>
    </row>
    <row r="96" spans="1:55" ht="12" customHeight="1">
      <c r="A96" s="190"/>
      <c r="B96" s="190"/>
      <c r="C96" s="190"/>
      <c r="D96" s="191"/>
      <c r="E96" s="192"/>
      <c r="F96" s="192"/>
      <c r="G96" s="192"/>
      <c r="H96" s="192"/>
      <c r="I96" s="192"/>
      <c r="J96" s="192"/>
      <c r="K96" s="192"/>
      <c r="L96" s="192"/>
      <c r="M96" s="192"/>
      <c r="N96" s="192"/>
      <c r="O96" s="192"/>
      <c r="P96" s="192"/>
      <c r="Q96" s="193"/>
      <c r="R96" s="193"/>
      <c r="S96" s="192"/>
      <c r="T96" s="194"/>
      <c r="U96" s="194"/>
      <c r="V96" s="194"/>
      <c r="W96" s="194"/>
      <c r="X96" s="193"/>
      <c r="Y96" s="193"/>
      <c r="Z96" s="195"/>
      <c r="AA96" s="213"/>
      <c r="AB96" s="194"/>
      <c r="AC96" s="192"/>
      <c r="AD96" s="196"/>
      <c r="AE96" s="197"/>
      <c r="AF96" s="198"/>
      <c r="AG96" s="223"/>
      <c r="AH96" s="223"/>
      <c r="AI96" s="223"/>
      <c r="AJ96" s="223"/>
      <c r="AK96" s="223"/>
      <c r="AL96" s="223"/>
      <c r="AM96" s="223"/>
      <c r="AN96" s="223"/>
      <c r="AO96" s="223"/>
      <c r="AP96" s="223"/>
      <c r="AQ96" s="223"/>
      <c r="AR96" s="223"/>
      <c r="AS96" s="223"/>
      <c r="AT96" s="223"/>
      <c r="AU96" s="223"/>
      <c r="AV96" s="223"/>
      <c r="AW96" s="223"/>
      <c r="AX96" s="223"/>
      <c r="AY96" s="223"/>
      <c r="AZ96" s="223"/>
      <c r="BA96" s="223"/>
      <c r="BB96" s="223"/>
      <c r="BC96" s="223"/>
    </row>
  </sheetData>
  <sheetProtection formatCells="0" formatColumns="0" formatRows="0" insertColumns="0" insertRows="0" insertHyperlinks="0" deleteColumns="0" deleteRows="0" sort="0" autoFilter="0" pivotTables="0"/>
  <dataConsolidate/>
  <mergeCells count="36">
    <mergeCell ref="AG3:AJ3"/>
    <mergeCell ref="AG2:AJ2"/>
    <mergeCell ref="AK3:AN3"/>
    <mergeCell ref="AK2:AN2"/>
    <mergeCell ref="AO3:AR3"/>
    <mergeCell ref="AO2:AR2"/>
    <mergeCell ref="AS3:AV3"/>
    <mergeCell ref="AS2:AV2"/>
    <mergeCell ref="AW3:AZ3"/>
    <mergeCell ref="AW2:AZ2"/>
    <mergeCell ref="BA3:BD3"/>
    <mergeCell ref="BA2:BD2"/>
    <mergeCell ref="D2:F2"/>
    <mergeCell ref="P3:P4"/>
    <mergeCell ref="W3:W4"/>
    <mergeCell ref="Y3:Y4"/>
    <mergeCell ref="AA3:AA4"/>
    <mergeCell ref="Q3:Q4"/>
    <mergeCell ref="R3:R4"/>
    <mergeCell ref="T3:T4"/>
    <mergeCell ref="S3:S4"/>
    <mergeCell ref="U3:U4"/>
    <mergeCell ref="X3:X4"/>
    <mergeCell ref="V3:V4"/>
    <mergeCell ref="Z3:Z4"/>
    <mergeCell ref="O3:O4"/>
    <mergeCell ref="AF3:AF4"/>
    <mergeCell ref="AE3:AE4"/>
    <mergeCell ref="AC3:AC4"/>
    <mergeCell ref="A3:A4"/>
    <mergeCell ref="B3:B4"/>
    <mergeCell ref="C3:C4"/>
    <mergeCell ref="D3:D4"/>
    <mergeCell ref="E3:N4"/>
    <mergeCell ref="AB3:AB4"/>
    <mergeCell ref="AD3:AD4"/>
  </mergeCells>
  <phoneticPr fontId="4" type="noConversion"/>
  <conditionalFormatting sqref="D5:AE95">
    <cfRule type="expression" dxfId="2" priority="2">
      <formula>($B5="G")</formula>
    </cfRule>
    <cfRule type="expression" dxfId="1" priority="1">
      <formula>($AF5=1)</formula>
    </cfRule>
  </conditionalFormatting>
  <hyperlinks>
    <hyperlink ref="AG1:BK1" r:id="rId1" display="https://xlworks.net/xlgantt-project-scheduler/" xr:uid="{FF40B834-95AF-4EB5-950B-9A4483AC3181}"/>
  </hyperlinks>
  <pageMargins left="0.19685039370078741" right="0.23622047244094491" top="0.43307086614173229" bottom="0.23622047244094491" header="0.23622047244094491" footer="0.19685039370078741"/>
  <pageSetup paperSize="9" scale="27"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A37" sqref="A37"/>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400</v>
      </c>
      <c r="B1" s="2"/>
      <c r="C1" s="2"/>
      <c r="D1" s="2"/>
      <c r="E1" s="2"/>
      <c r="F1" s="2"/>
      <c r="G1" s="2"/>
      <c r="H1" s="2"/>
      <c r="I1" s="2"/>
      <c r="J1" s="2"/>
      <c r="K1" s="2"/>
      <c r="L1" s="274"/>
      <c r="M1" s="275"/>
      <c r="N1" s="275"/>
      <c r="O1" s="3"/>
      <c r="P1" s="3"/>
      <c r="Q1" s="3"/>
    </row>
    <row r="2" spans="1:17" s="7" customFormat="1" ht="12.75">
      <c r="A2" s="5" t="s">
        <v>401</v>
      </c>
      <c r="B2" s="6"/>
    </row>
    <row r="3" spans="1:17" s="7" customFormat="1" ht="12.75">
      <c r="A3" s="5" t="s">
        <v>402</v>
      </c>
      <c r="B3" s="6"/>
    </row>
    <row r="4" spans="1:17" s="7" customFormat="1" ht="12.75">
      <c r="A4" s="276"/>
      <c r="B4" s="276"/>
      <c r="C4" s="8"/>
      <c r="D4" s="9"/>
      <c r="E4" s="9"/>
      <c r="F4" s="9"/>
    </row>
    <row r="5" spans="1:17" s="15" customFormat="1" ht="12.75">
      <c r="A5" s="10"/>
      <c r="B5" s="11"/>
      <c r="C5" s="12"/>
      <c r="D5" s="13"/>
      <c r="E5" s="14"/>
      <c r="F5" s="14"/>
      <c r="G5" s="14"/>
    </row>
    <row r="6" spans="1:17" s="15" customFormat="1" ht="12.75">
      <c r="A6" s="16" t="s">
        <v>403</v>
      </c>
      <c r="B6" s="17">
        <v>1020</v>
      </c>
      <c r="C6" s="15" t="s">
        <v>404</v>
      </c>
      <c r="D6" s="273" t="s">
        <v>405</v>
      </c>
      <c r="E6" s="273"/>
      <c r="F6" s="273"/>
      <c r="G6" s="273"/>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406</v>
      </c>
      <c r="B9" s="17">
        <v>978</v>
      </c>
      <c r="C9" s="15" t="s">
        <v>404</v>
      </c>
      <c r="D9" s="272" t="s">
        <v>407</v>
      </c>
      <c r="E9" s="272"/>
      <c r="F9" s="272"/>
      <c r="G9" s="272"/>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408</v>
      </c>
      <c r="B12" s="17">
        <v>0</v>
      </c>
      <c r="C12" s="15" t="s">
        <v>404</v>
      </c>
      <c r="D12" s="277" t="s">
        <v>409</v>
      </c>
      <c r="E12" s="272"/>
      <c r="F12" s="272"/>
      <c r="G12" s="272"/>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410</v>
      </c>
      <c r="B15" s="17"/>
      <c r="C15" s="15" t="s">
        <v>404</v>
      </c>
      <c r="D15" s="272" t="s">
        <v>411</v>
      </c>
      <c r="E15" s="272"/>
      <c r="F15" s="272"/>
      <c r="G15" s="272"/>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412</v>
      </c>
      <c r="B18" s="39">
        <v>0.95882352941176474</v>
      </c>
      <c r="D18" s="272" t="s">
        <v>413</v>
      </c>
      <c r="E18" s="272"/>
      <c r="F18" s="272"/>
      <c r="G18" s="272"/>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414</v>
      </c>
      <c r="B21" s="39">
        <v>0</v>
      </c>
      <c r="D21" s="272" t="s">
        <v>415</v>
      </c>
      <c r="E21" s="272"/>
      <c r="F21" s="272"/>
      <c r="G21" s="272"/>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416</v>
      </c>
      <c r="B24" s="49">
        <f>ACTUAL_RATE-PLANNED_RATE</f>
        <v>-0.95882352941176474</v>
      </c>
      <c r="D24" s="273" t="s">
        <v>417</v>
      </c>
      <c r="E24" s="273"/>
      <c r="F24" s="273"/>
      <c r="G24" s="273"/>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0"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198CFF"/>
  </sheetPr>
  <dimension ref="B1:L29"/>
  <sheetViews>
    <sheetView showGridLines="0" zoomScale="80" zoomScaleNormal="80" workbookViewId="0">
      <pane ySplit="1" topLeftCell="A2" activePane="bottomLeft" state="frozen"/>
      <selection pane="bottomLeft" activeCell="U95" sqref="U35:AB95"/>
    </sheetView>
  </sheetViews>
  <sheetFormatPr defaultColWidth="9.125" defaultRowHeight="15"/>
  <cols>
    <col min="1" max="1" width="1.75" style="153" customWidth="1"/>
    <col min="2" max="3" width="9.75" style="153" bestFit="1" customWidth="1"/>
    <col min="4" max="4" width="9.125" style="153"/>
    <col min="5" max="5" width="10.75" style="153" customWidth="1"/>
    <col min="6" max="6" width="9.125" style="154"/>
    <col min="7" max="16384" width="9.125" style="153"/>
  </cols>
  <sheetData>
    <row r="1" spans="2:12" ht="37.15" customHeight="1">
      <c r="B1" s="155" t="s">
        <v>1673</v>
      </c>
    </row>
    <row r="2" spans="2:12">
      <c r="B2" s="153" t="s">
        <v>1674</v>
      </c>
    </row>
    <row r="3" spans="2:12">
      <c r="B3" s="153" t="s">
        <v>1675</v>
      </c>
    </row>
    <row r="6" spans="2:12" ht="45">
      <c r="B6" s="151" t="s">
        <v>423</v>
      </c>
      <c r="C6" s="148" t="s">
        <v>424</v>
      </c>
      <c r="D6" s="148" t="s">
        <v>1676</v>
      </c>
      <c r="E6" s="148" t="s">
        <v>1677</v>
      </c>
      <c r="F6" s="152" t="s">
        <v>1678</v>
      </c>
      <c r="G6" s="148" t="s">
        <v>1679</v>
      </c>
      <c r="H6" s="148" t="s">
        <v>1680</v>
      </c>
      <c r="I6" s="148" t="s">
        <v>1681</v>
      </c>
      <c r="J6" s="148" t="s">
        <v>1682</v>
      </c>
      <c r="K6" s="148" t="s">
        <v>1683</v>
      </c>
      <c r="L6" s="149" t="s">
        <v>1684</v>
      </c>
    </row>
    <row r="7" spans="2:12">
      <c r="B7" s="156">
        <v>44830</v>
      </c>
      <c r="C7" s="156">
        <v>44835</v>
      </c>
      <c r="D7" s="157">
        <v>31</v>
      </c>
      <c r="E7" s="157">
        <f>D7</f>
        <v>31</v>
      </c>
      <c r="F7" s="158">
        <f t="shared" ref="F7:F28" si="0">E7/$D$29</f>
        <v>3.7851037851037848E-2</v>
      </c>
      <c r="G7" s="157">
        <v>0</v>
      </c>
      <c r="H7" s="157">
        <f>G7</f>
        <v>0</v>
      </c>
      <c r="I7" s="158">
        <f t="shared" ref="I7:I8" si="1">H7/$D$29</f>
        <v>0</v>
      </c>
      <c r="J7" s="157"/>
      <c r="K7" s="157">
        <f>J7</f>
        <v>0</v>
      </c>
      <c r="L7" s="158">
        <f t="shared" ref="L7:L8" si="2">K7/$D$29</f>
        <v>0</v>
      </c>
    </row>
    <row r="8" spans="2:12">
      <c r="B8" s="159">
        <v>44836</v>
      </c>
      <c r="C8" s="159">
        <v>44842</v>
      </c>
      <c r="D8" s="160">
        <v>30.999999999999996</v>
      </c>
      <c r="E8" s="160">
        <f t="shared" ref="E8:E28" si="3">E7+D8</f>
        <v>62</v>
      </c>
      <c r="F8" s="161">
        <f t="shared" si="0"/>
        <v>7.5702075702075697E-2</v>
      </c>
      <c r="G8" s="160">
        <v>0</v>
      </c>
      <c r="H8" s="160">
        <f>H7+G8</f>
        <v>0</v>
      </c>
      <c r="I8" s="161">
        <f t="shared" si="1"/>
        <v>0</v>
      </c>
      <c r="J8" s="160"/>
      <c r="K8" s="160">
        <f>K7+J8</f>
        <v>0</v>
      </c>
      <c r="L8" s="161">
        <f t="shared" si="2"/>
        <v>0</v>
      </c>
    </row>
    <row r="9" spans="2:12">
      <c r="B9" s="159">
        <v>44843</v>
      </c>
      <c r="C9" s="159">
        <v>44849</v>
      </c>
      <c r="D9" s="160">
        <v>26.000000000000004</v>
      </c>
      <c r="E9" s="160">
        <f t="shared" si="3"/>
        <v>88</v>
      </c>
      <c r="F9" s="161">
        <f t="shared" si="0"/>
        <v>0.10744810744810745</v>
      </c>
      <c r="G9" s="160"/>
      <c r="H9" s="160"/>
      <c r="I9" s="160"/>
      <c r="J9" s="160"/>
      <c r="K9" s="160"/>
      <c r="L9" s="160"/>
    </row>
    <row r="10" spans="2:12">
      <c r="B10" s="159">
        <v>44850</v>
      </c>
      <c r="C10" s="159">
        <v>44856</v>
      </c>
      <c r="D10" s="160">
        <v>31</v>
      </c>
      <c r="E10" s="160">
        <f t="shared" si="3"/>
        <v>119</v>
      </c>
      <c r="F10" s="161">
        <f t="shared" si="0"/>
        <v>0.14529914529914531</v>
      </c>
      <c r="G10" s="160"/>
      <c r="H10" s="160"/>
      <c r="I10" s="160"/>
      <c r="J10" s="160"/>
      <c r="K10" s="160"/>
      <c r="L10" s="160"/>
    </row>
    <row r="11" spans="2:12">
      <c r="B11" s="159">
        <v>44857</v>
      </c>
      <c r="C11" s="159">
        <v>44863</v>
      </c>
      <c r="D11" s="160">
        <v>40</v>
      </c>
      <c r="E11" s="160">
        <f t="shared" si="3"/>
        <v>159</v>
      </c>
      <c r="F11" s="161">
        <f t="shared" si="0"/>
        <v>0.19413919413919414</v>
      </c>
      <c r="G11" s="160"/>
      <c r="H11" s="160"/>
      <c r="I11" s="160"/>
      <c r="J11" s="160"/>
      <c r="K11" s="160"/>
      <c r="L11" s="160"/>
    </row>
    <row r="12" spans="2:12">
      <c r="B12" s="159">
        <v>44864</v>
      </c>
      <c r="C12" s="159">
        <v>44870</v>
      </c>
      <c r="D12" s="160">
        <v>40</v>
      </c>
      <c r="E12" s="160">
        <f t="shared" si="3"/>
        <v>199</v>
      </c>
      <c r="F12" s="161">
        <f t="shared" si="0"/>
        <v>0.24297924297924298</v>
      </c>
      <c r="G12" s="160"/>
      <c r="H12" s="160"/>
      <c r="I12" s="160"/>
      <c r="J12" s="160"/>
      <c r="K12" s="160"/>
      <c r="L12" s="160"/>
    </row>
    <row r="13" spans="2:12">
      <c r="B13" s="159">
        <v>44871</v>
      </c>
      <c r="C13" s="159">
        <v>44877</v>
      </c>
      <c r="D13" s="160">
        <v>40</v>
      </c>
      <c r="E13" s="160">
        <f t="shared" si="3"/>
        <v>239</v>
      </c>
      <c r="F13" s="161">
        <f t="shared" si="0"/>
        <v>0.29181929181929184</v>
      </c>
      <c r="G13" s="160"/>
      <c r="H13" s="160"/>
      <c r="I13" s="160"/>
      <c r="J13" s="160"/>
      <c r="K13" s="160"/>
      <c r="L13" s="160"/>
    </row>
    <row r="14" spans="2:12">
      <c r="B14" s="159">
        <v>44878</v>
      </c>
      <c r="C14" s="159">
        <v>44884</v>
      </c>
      <c r="D14" s="160">
        <v>40</v>
      </c>
      <c r="E14" s="160">
        <f t="shared" si="3"/>
        <v>279</v>
      </c>
      <c r="F14" s="161">
        <f t="shared" si="0"/>
        <v>0.34065934065934067</v>
      </c>
      <c r="G14" s="160"/>
      <c r="H14" s="160"/>
      <c r="I14" s="160"/>
      <c r="J14" s="160"/>
      <c r="K14" s="160"/>
      <c r="L14" s="160"/>
    </row>
    <row r="15" spans="2:12">
      <c r="B15" s="159">
        <v>44885</v>
      </c>
      <c r="C15" s="159">
        <v>44891</v>
      </c>
      <c r="D15" s="160">
        <v>40</v>
      </c>
      <c r="E15" s="160">
        <f t="shared" si="3"/>
        <v>319</v>
      </c>
      <c r="F15" s="161">
        <f t="shared" si="0"/>
        <v>0.3894993894993895</v>
      </c>
      <c r="G15" s="160"/>
      <c r="H15" s="160"/>
      <c r="I15" s="160"/>
      <c r="J15" s="160"/>
      <c r="K15" s="160"/>
      <c r="L15" s="160"/>
    </row>
    <row r="16" spans="2:12">
      <c r="B16" s="159">
        <v>44892</v>
      </c>
      <c r="C16" s="159">
        <v>44898</v>
      </c>
      <c r="D16" s="160">
        <v>49.999999999999993</v>
      </c>
      <c r="E16" s="160">
        <f t="shared" si="3"/>
        <v>369</v>
      </c>
      <c r="F16" s="161">
        <f t="shared" si="0"/>
        <v>0.45054945054945056</v>
      </c>
      <c r="G16" s="160"/>
      <c r="H16" s="160"/>
      <c r="I16" s="160"/>
      <c r="J16" s="160"/>
      <c r="K16" s="160"/>
      <c r="L16" s="160"/>
    </row>
    <row r="17" spans="2:12">
      <c r="B17" s="159">
        <v>44899</v>
      </c>
      <c r="C17" s="159">
        <v>44905</v>
      </c>
      <c r="D17" s="160">
        <v>54.999999999999986</v>
      </c>
      <c r="E17" s="160">
        <f t="shared" si="3"/>
        <v>424</v>
      </c>
      <c r="F17" s="161">
        <f t="shared" si="0"/>
        <v>0.51770451770451775</v>
      </c>
      <c r="G17" s="160"/>
      <c r="H17" s="160"/>
      <c r="I17" s="160"/>
      <c r="J17" s="160"/>
      <c r="K17" s="160"/>
      <c r="L17" s="160"/>
    </row>
    <row r="18" spans="2:12">
      <c r="B18" s="159">
        <v>44906</v>
      </c>
      <c r="C18" s="159">
        <v>44912</v>
      </c>
      <c r="D18" s="160">
        <v>44.999999999999993</v>
      </c>
      <c r="E18" s="160">
        <f t="shared" si="3"/>
        <v>469</v>
      </c>
      <c r="F18" s="161">
        <f t="shared" si="0"/>
        <v>0.57264957264957261</v>
      </c>
      <c r="G18" s="160"/>
      <c r="H18" s="160"/>
      <c r="I18" s="160"/>
      <c r="J18" s="160"/>
      <c r="K18" s="160"/>
      <c r="L18" s="160"/>
    </row>
    <row r="19" spans="2:12">
      <c r="B19" s="159">
        <v>44913</v>
      </c>
      <c r="C19" s="159">
        <v>44919</v>
      </c>
      <c r="D19" s="160">
        <v>44.999999999999993</v>
      </c>
      <c r="E19" s="160">
        <f t="shared" si="3"/>
        <v>514</v>
      </c>
      <c r="F19" s="161">
        <f t="shared" si="0"/>
        <v>0.62759462759462759</v>
      </c>
      <c r="G19" s="160"/>
      <c r="H19" s="160"/>
      <c r="I19" s="160"/>
      <c r="J19" s="160"/>
      <c r="K19" s="160"/>
      <c r="L19" s="160"/>
    </row>
    <row r="20" spans="2:12">
      <c r="B20" s="159">
        <v>44920</v>
      </c>
      <c r="C20" s="159">
        <v>44926</v>
      </c>
      <c r="D20" s="160">
        <v>40</v>
      </c>
      <c r="E20" s="160">
        <f t="shared" si="3"/>
        <v>554</v>
      </c>
      <c r="F20" s="161">
        <f t="shared" si="0"/>
        <v>0.67643467643467647</v>
      </c>
      <c r="G20" s="160"/>
      <c r="H20" s="160"/>
      <c r="I20" s="160"/>
      <c r="J20" s="160"/>
      <c r="K20" s="160"/>
      <c r="L20" s="160"/>
    </row>
    <row r="21" spans="2:12">
      <c r="B21" s="159">
        <v>44927</v>
      </c>
      <c r="C21" s="159">
        <v>44933</v>
      </c>
      <c r="D21" s="160">
        <v>44.999999999999993</v>
      </c>
      <c r="E21" s="160">
        <f t="shared" si="3"/>
        <v>599</v>
      </c>
      <c r="F21" s="161">
        <f t="shared" si="0"/>
        <v>0.73137973137973133</v>
      </c>
      <c r="G21" s="160"/>
      <c r="H21" s="160"/>
      <c r="I21" s="160"/>
      <c r="J21" s="160"/>
      <c r="K21" s="160"/>
      <c r="L21" s="160"/>
    </row>
    <row r="22" spans="2:12">
      <c r="B22" s="159">
        <v>44934</v>
      </c>
      <c r="C22" s="159">
        <v>44940</v>
      </c>
      <c r="D22" s="160">
        <v>40</v>
      </c>
      <c r="E22" s="160">
        <f t="shared" si="3"/>
        <v>639</v>
      </c>
      <c r="F22" s="161">
        <f t="shared" si="0"/>
        <v>0.78021978021978022</v>
      </c>
      <c r="G22" s="160"/>
      <c r="H22" s="160"/>
      <c r="I22" s="160"/>
      <c r="J22" s="160"/>
      <c r="K22" s="160"/>
      <c r="L22" s="160"/>
    </row>
    <row r="23" spans="2:12">
      <c r="B23" s="159">
        <v>44941</v>
      </c>
      <c r="C23" s="159">
        <v>44947</v>
      </c>
      <c r="D23" s="160">
        <v>35</v>
      </c>
      <c r="E23" s="160">
        <f t="shared" si="3"/>
        <v>674</v>
      </c>
      <c r="F23" s="161">
        <f t="shared" si="0"/>
        <v>0.82295482295482292</v>
      </c>
      <c r="G23" s="160"/>
      <c r="H23" s="160"/>
      <c r="I23" s="160"/>
      <c r="J23" s="160"/>
      <c r="K23" s="160"/>
      <c r="L23" s="160"/>
    </row>
    <row r="24" spans="2:12">
      <c r="B24" s="159">
        <v>44948</v>
      </c>
      <c r="C24" s="159">
        <v>44954</v>
      </c>
      <c r="D24" s="160">
        <v>18</v>
      </c>
      <c r="E24" s="160">
        <f t="shared" si="3"/>
        <v>692</v>
      </c>
      <c r="F24" s="161">
        <f t="shared" si="0"/>
        <v>0.84493284493284493</v>
      </c>
      <c r="G24" s="160"/>
      <c r="H24" s="160"/>
      <c r="I24" s="160"/>
      <c r="J24" s="160"/>
      <c r="K24" s="160"/>
      <c r="L24" s="160"/>
    </row>
    <row r="25" spans="2:12">
      <c r="B25" s="159">
        <v>44955</v>
      </c>
      <c r="C25" s="159">
        <v>44961</v>
      </c>
      <c r="D25" s="160">
        <v>30</v>
      </c>
      <c r="E25" s="160">
        <f t="shared" si="3"/>
        <v>722</v>
      </c>
      <c r="F25" s="161">
        <f t="shared" si="0"/>
        <v>0.88156288156288154</v>
      </c>
      <c r="G25" s="160"/>
      <c r="H25" s="160"/>
      <c r="I25" s="160"/>
      <c r="J25" s="160"/>
      <c r="K25" s="160"/>
      <c r="L25" s="160"/>
    </row>
    <row r="26" spans="2:12">
      <c r="B26" s="159">
        <v>44962</v>
      </c>
      <c r="C26" s="159">
        <v>44968</v>
      </c>
      <c r="D26" s="160">
        <v>35</v>
      </c>
      <c r="E26" s="160">
        <f t="shared" si="3"/>
        <v>757</v>
      </c>
      <c r="F26" s="161">
        <f t="shared" si="0"/>
        <v>0.92429792429792434</v>
      </c>
      <c r="G26" s="160"/>
      <c r="H26" s="160"/>
      <c r="I26" s="160"/>
      <c r="J26" s="160"/>
      <c r="K26" s="160"/>
      <c r="L26" s="160"/>
    </row>
    <row r="27" spans="2:12">
      <c r="B27" s="159">
        <v>44969</v>
      </c>
      <c r="C27" s="159">
        <v>44975</v>
      </c>
      <c r="D27" s="160">
        <v>35</v>
      </c>
      <c r="E27" s="160">
        <f t="shared" si="3"/>
        <v>792</v>
      </c>
      <c r="F27" s="161">
        <f t="shared" si="0"/>
        <v>0.96703296703296704</v>
      </c>
      <c r="G27" s="160"/>
      <c r="H27" s="160"/>
      <c r="I27" s="160"/>
      <c r="J27" s="160"/>
      <c r="K27" s="160"/>
      <c r="L27" s="160"/>
    </row>
    <row r="28" spans="2:12">
      <c r="B28" s="159">
        <v>44976</v>
      </c>
      <c r="C28" s="159">
        <v>44982</v>
      </c>
      <c r="D28" s="160">
        <v>27</v>
      </c>
      <c r="E28" s="160">
        <f t="shared" si="3"/>
        <v>819</v>
      </c>
      <c r="F28" s="161">
        <f t="shared" si="0"/>
        <v>1</v>
      </c>
      <c r="G28" s="160"/>
      <c r="H28" s="160"/>
      <c r="I28" s="160"/>
      <c r="J28" s="160"/>
      <c r="K28" s="160"/>
      <c r="L28" s="160"/>
    </row>
    <row r="29" spans="2:12">
      <c r="C29" s="153" t="s">
        <v>1685</v>
      </c>
      <c r="D29" s="153">
        <f>SUM(D7:D28)</f>
        <v>819</v>
      </c>
      <c r="G29" s="153">
        <f>SUM(G7:G28)</f>
        <v>0</v>
      </c>
      <c r="J29" s="153">
        <f>SUM(J7:J28)</f>
        <v>0</v>
      </c>
    </row>
  </sheetData>
  <dataConsolidate/>
  <phoneticPr fontId="2" type="noConversion"/>
  <pageMargins left="0.7" right="0.7" top="0.75" bottom="0.75" header="0.3" footer="0.3"/>
  <pageSetup paperSize="9" orientation="portrait"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C000"/>
  </sheetPr>
  <dimension ref="A1:J289"/>
  <sheetViews>
    <sheetView showGridLines="0" zoomScale="85" zoomScaleNormal="85" workbookViewId="0">
      <pane ySplit="1" topLeftCell="A2" activePane="bottomLeft" state="frozenSplit"/>
      <selection pane="bottomLeft" activeCell="A6" sqref="A6"/>
    </sheetView>
  </sheetViews>
  <sheetFormatPr defaultColWidth="10" defaultRowHeight="15"/>
  <cols>
    <col min="1" max="1" width="31.625" style="62" customWidth="1"/>
    <col min="2" max="2" width="14.5" style="62" customWidth="1"/>
    <col min="3" max="3" width="7.625" style="62" customWidth="1"/>
    <col min="4" max="4" width="21.5" style="62" customWidth="1"/>
    <col min="5" max="5" width="14.125" style="62" customWidth="1"/>
    <col min="6" max="6" width="10" style="62"/>
    <col min="7" max="7" width="24.25" style="62" customWidth="1"/>
    <col min="8" max="8" width="18.375" style="62" bestFit="1" customWidth="1"/>
    <col min="9" max="9" width="11.125" style="62" bestFit="1" customWidth="1"/>
    <col min="10" max="10" width="27.375" style="62" bestFit="1" customWidth="1"/>
    <col min="11" max="19" width="10" style="62"/>
    <col min="20" max="23" width="10" style="62" customWidth="1"/>
    <col min="24" max="26" width="10" style="62"/>
    <col min="27" max="27" width="0" style="62" hidden="1" customWidth="1"/>
    <col min="28" max="16384" width="10" style="62"/>
  </cols>
  <sheetData>
    <row r="1" spans="1:10" ht="36.950000000000003" customHeight="1">
      <c r="A1" s="1" t="s">
        <v>435</v>
      </c>
      <c r="B1" s="1"/>
      <c r="C1" s="1"/>
      <c r="D1" s="1"/>
      <c r="E1" s="1"/>
      <c r="F1" s="1"/>
      <c r="G1" s="1"/>
      <c r="H1" s="1"/>
    </row>
    <row r="2" spans="1:10" s="63" customFormat="1" ht="78.75" customHeight="1">
      <c r="A2" s="278" t="s">
        <v>436</v>
      </c>
      <c r="B2" s="278"/>
      <c r="C2" s="278"/>
      <c r="D2" s="278"/>
      <c r="E2" s="278"/>
      <c r="F2" s="278"/>
      <c r="G2" s="278"/>
      <c r="H2" s="278"/>
    </row>
    <row r="3" spans="1:10" s="63" customFormat="1" ht="24.75" customHeight="1">
      <c r="A3" s="279" t="s">
        <v>437</v>
      </c>
      <c r="B3" s="279"/>
      <c r="D3" s="279" t="s">
        <v>438</v>
      </c>
      <c r="E3" s="279"/>
      <c r="G3" s="279" t="s">
        <v>439</v>
      </c>
      <c r="H3" s="279"/>
    </row>
    <row r="4" spans="1:10" s="65" customFormat="1" ht="19.5" customHeight="1">
      <c r="A4" s="64" t="s">
        <v>440</v>
      </c>
      <c r="B4" s="64" t="s">
        <v>441</v>
      </c>
      <c r="D4" s="64" t="s">
        <v>440</v>
      </c>
      <c r="E4" s="64" t="s">
        <v>441</v>
      </c>
      <c r="G4" s="64" t="s">
        <v>440</v>
      </c>
      <c r="H4" s="64" t="s">
        <v>441</v>
      </c>
    </row>
    <row r="5" spans="1:10" s="89" customFormat="1" ht="16.5">
      <c r="A5" s="87" t="s">
        <v>442</v>
      </c>
      <c r="B5" s="146">
        <v>44837</v>
      </c>
      <c r="C5" s="89" t="str">
        <f t="shared" ref="C5:C52" si="0">IF(B5&gt;0,TEXT(B5,"(aaa)"),"")</f>
        <v>(월)</v>
      </c>
      <c r="D5" s="90"/>
      <c r="E5" s="146">
        <v>44837</v>
      </c>
      <c r="F5" s="89" t="str">
        <f t="shared" ref="F5:F52" si="1">IF(E5&gt;0,TEXT(E5,"(aaa)"),"")</f>
        <v>(월)</v>
      </c>
      <c r="G5" s="90"/>
      <c r="H5" s="91"/>
      <c r="I5" s="89" t="str">
        <f t="shared" ref="I5:I52" si="2">IF(H5&gt;0,TEXT(H5,"(aaa)"),"")</f>
        <v/>
      </c>
    </row>
    <row r="6" spans="1:10" s="89" customFormat="1" ht="16.5">
      <c r="A6" s="87" t="s">
        <v>443</v>
      </c>
      <c r="B6" s="146">
        <v>44844</v>
      </c>
      <c r="C6" s="89" t="str">
        <f t="shared" si="0"/>
        <v>(월)</v>
      </c>
      <c r="D6" s="90"/>
      <c r="E6" s="146">
        <v>44844</v>
      </c>
      <c r="F6" s="89" t="str">
        <f t="shared" si="1"/>
        <v>(월)</v>
      </c>
      <c r="G6" s="90"/>
      <c r="H6" s="91"/>
      <c r="I6" s="89" t="str">
        <f t="shared" si="2"/>
        <v/>
      </c>
    </row>
    <row r="7" spans="1:10" s="89" customFormat="1" ht="17.25">
      <c r="A7" s="87" t="s">
        <v>444</v>
      </c>
      <c r="B7" s="146">
        <v>44949</v>
      </c>
      <c r="C7" s="89" t="str">
        <f t="shared" si="0"/>
        <v>(월)</v>
      </c>
      <c r="D7" s="90"/>
      <c r="E7" s="146">
        <v>44949</v>
      </c>
      <c r="F7" s="89" t="str">
        <f t="shared" si="1"/>
        <v>(월)</v>
      </c>
      <c r="G7" s="90"/>
      <c r="H7" s="91"/>
      <c r="I7" s="89" t="str">
        <f t="shared" si="2"/>
        <v/>
      </c>
      <c r="J7" s="92"/>
    </row>
    <row r="8" spans="1:10" s="89" customFormat="1" ht="17.25">
      <c r="A8" s="87" t="s">
        <v>444</v>
      </c>
      <c r="B8" s="146">
        <v>44950</v>
      </c>
      <c r="C8" s="89" t="str">
        <f t="shared" si="0"/>
        <v>(화)</v>
      </c>
      <c r="D8" s="90"/>
      <c r="E8" s="146">
        <v>44950</v>
      </c>
      <c r="F8" s="89" t="str">
        <f t="shared" si="1"/>
        <v>(화)</v>
      </c>
      <c r="G8" s="90"/>
      <c r="H8" s="91"/>
      <c r="I8" s="89" t="str">
        <f t="shared" si="2"/>
        <v/>
      </c>
      <c r="J8" s="92"/>
    </row>
    <row r="9" spans="1:10" s="89" customFormat="1" ht="16.5">
      <c r="A9" s="87"/>
      <c r="B9" s="146">
        <v>44986</v>
      </c>
      <c r="C9" s="89" t="str">
        <f t="shared" si="0"/>
        <v>(수)</v>
      </c>
      <c r="D9" s="90"/>
      <c r="E9" s="146">
        <v>44986</v>
      </c>
      <c r="F9" s="89" t="str">
        <f t="shared" si="1"/>
        <v>(수)</v>
      </c>
      <c r="G9" s="90"/>
      <c r="H9" s="91"/>
      <c r="I9" s="89" t="str">
        <f t="shared" si="2"/>
        <v/>
      </c>
    </row>
    <row r="10" spans="1:10" s="89" customFormat="1" ht="16.5">
      <c r="A10" s="87"/>
      <c r="B10" s="88"/>
      <c r="C10" s="89" t="str">
        <f t="shared" si="0"/>
        <v/>
      </c>
      <c r="D10" s="90"/>
      <c r="E10" s="91"/>
      <c r="F10" s="89" t="str">
        <f t="shared" si="1"/>
        <v/>
      </c>
      <c r="G10" s="90"/>
      <c r="H10" s="91"/>
      <c r="I10" s="89" t="str">
        <f t="shared" si="2"/>
        <v/>
      </c>
    </row>
    <row r="11" spans="1:10" s="89" customFormat="1" ht="16.5">
      <c r="A11" s="87"/>
      <c r="B11" s="88"/>
      <c r="C11" s="89" t="str">
        <f t="shared" si="0"/>
        <v/>
      </c>
      <c r="D11" s="90"/>
      <c r="E11" s="91"/>
      <c r="F11" s="89" t="str">
        <f t="shared" si="1"/>
        <v/>
      </c>
      <c r="G11" s="90"/>
      <c r="H11" s="91"/>
      <c r="I11" s="89" t="str">
        <f t="shared" si="2"/>
        <v/>
      </c>
    </row>
    <row r="12" spans="1:10" s="89" customFormat="1" ht="16.5">
      <c r="A12" s="87"/>
      <c r="B12" s="88"/>
      <c r="C12" s="89" t="str">
        <f t="shared" si="0"/>
        <v/>
      </c>
      <c r="D12" s="90"/>
      <c r="E12" s="91"/>
      <c r="F12" s="89" t="str">
        <f t="shared" si="1"/>
        <v/>
      </c>
      <c r="G12" s="90"/>
      <c r="H12" s="91"/>
      <c r="I12" s="89" t="str">
        <f t="shared" si="2"/>
        <v/>
      </c>
    </row>
    <row r="13" spans="1:10" s="89" customFormat="1" ht="16.5">
      <c r="A13" s="87"/>
      <c r="B13" s="88"/>
      <c r="C13" s="89" t="str">
        <f t="shared" si="0"/>
        <v/>
      </c>
      <c r="D13" s="90"/>
      <c r="E13" s="91"/>
      <c r="F13" s="89" t="str">
        <f t="shared" si="1"/>
        <v/>
      </c>
      <c r="G13" s="90"/>
      <c r="H13" s="91"/>
      <c r="I13" s="89" t="str">
        <f t="shared" si="2"/>
        <v/>
      </c>
    </row>
    <row r="14" spans="1:10" s="89" customFormat="1" ht="16.5">
      <c r="A14" s="87"/>
      <c r="B14" s="88"/>
      <c r="C14" s="89" t="str">
        <f t="shared" si="0"/>
        <v/>
      </c>
      <c r="D14" s="90"/>
      <c r="E14" s="91"/>
      <c r="F14" s="89" t="str">
        <f t="shared" si="1"/>
        <v/>
      </c>
      <c r="G14" s="90"/>
      <c r="H14" s="91"/>
      <c r="I14" s="89" t="str">
        <f t="shared" si="2"/>
        <v/>
      </c>
    </row>
    <row r="15" spans="1:10" s="89" customFormat="1" ht="16.5">
      <c r="A15" s="87"/>
      <c r="B15" s="88"/>
      <c r="C15" s="89" t="str">
        <f t="shared" si="0"/>
        <v/>
      </c>
      <c r="D15" s="90"/>
      <c r="E15" s="91"/>
      <c r="F15" s="89" t="str">
        <f t="shared" si="1"/>
        <v/>
      </c>
      <c r="G15" s="90"/>
      <c r="H15" s="91"/>
      <c r="I15" s="89" t="str">
        <f t="shared" si="2"/>
        <v/>
      </c>
    </row>
    <row r="16" spans="1:10" s="89" customFormat="1" ht="16.5">
      <c r="A16" s="87"/>
      <c r="B16" s="88"/>
      <c r="C16" s="89" t="str">
        <f t="shared" si="0"/>
        <v/>
      </c>
      <c r="D16" s="90"/>
      <c r="E16" s="91"/>
      <c r="F16" s="89" t="str">
        <f t="shared" si="1"/>
        <v/>
      </c>
      <c r="G16" s="90"/>
      <c r="H16" s="91"/>
      <c r="I16" s="89" t="str">
        <f t="shared" si="2"/>
        <v/>
      </c>
    </row>
    <row r="17" spans="1:9" s="89" customFormat="1" ht="16.5">
      <c r="A17" s="87"/>
      <c r="B17" s="88"/>
      <c r="C17" s="89" t="str">
        <f t="shared" si="0"/>
        <v/>
      </c>
      <c r="D17" s="90"/>
      <c r="E17" s="91"/>
      <c r="F17" s="89" t="str">
        <f t="shared" si="1"/>
        <v/>
      </c>
      <c r="G17" s="90"/>
      <c r="H17" s="91"/>
      <c r="I17" s="89" t="str">
        <f t="shared" si="2"/>
        <v/>
      </c>
    </row>
    <row r="18" spans="1:9" s="89" customFormat="1" ht="16.5">
      <c r="A18" s="87"/>
      <c r="B18" s="88"/>
      <c r="C18" s="89" t="str">
        <f t="shared" si="0"/>
        <v/>
      </c>
      <c r="D18" s="90"/>
      <c r="E18" s="91"/>
      <c r="F18" s="89" t="str">
        <f t="shared" si="1"/>
        <v/>
      </c>
      <c r="G18" s="90"/>
      <c r="H18" s="91"/>
      <c r="I18" s="89" t="str">
        <f t="shared" si="2"/>
        <v/>
      </c>
    </row>
    <row r="19" spans="1:9" s="89" customFormat="1" ht="16.5">
      <c r="A19" s="87"/>
      <c r="B19" s="88"/>
      <c r="C19" s="89" t="str">
        <f t="shared" si="0"/>
        <v/>
      </c>
      <c r="D19" s="90"/>
      <c r="E19" s="91"/>
      <c r="F19" s="89" t="str">
        <f t="shared" si="1"/>
        <v/>
      </c>
      <c r="G19" s="90"/>
      <c r="H19" s="91"/>
      <c r="I19" s="89" t="str">
        <f t="shared" si="2"/>
        <v/>
      </c>
    </row>
    <row r="20" spans="1:9" s="89" customFormat="1" ht="16.5">
      <c r="A20" s="87"/>
      <c r="B20" s="88"/>
      <c r="C20" s="89" t="str">
        <f t="shared" si="0"/>
        <v/>
      </c>
      <c r="D20" s="90"/>
      <c r="E20" s="91"/>
      <c r="F20" s="89" t="str">
        <f t="shared" si="1"/>
        <v/>
      </c>
      <c r="G20" s="90"/>
      <c r="H20" s="91"/>
      <c r="I20" s="89" t="str">
        <f t="shared" si="2"/>
        <v/>
      </c>
    </row>
    <row r="21" spans="1:9" s="89" customFormat="1" ht="16.5">
      <c r="A21" s="87"/>
      <c r="B21" s="88"/>
      <c r="C21" s="89" t="str">
        <f t="shared" si="0"/>
        <v/>
      </c>
      <c r="D21" s="90"/>
      <c r="E21" s="91"/>
      <c r="F21" s="89" t="str">
        <f t="shared" si="1"/>
        <v/>
      </c>
      <c r="G21" s="90"/>
      <c r="H21" s="91"/>
      <c r="I21" s="89" t="str">
        <f t="shared" si="2"/>
        <v/>
      </c>
    </row>
    <row r="22" spans="1:9" s="89" customFormat="1" ht="16.5">
      <c r="A22" s="87"/>
      <c r="B22" s="88"/>
      <c r="C22" s="89" t="str">
        <f t="shared" si="0"/>
        <v/>
      </c>
      <c r="D22" s="90"/>
      <c r="E22" s="91"/>
      <c r="F22" s="89" t="str">
        <f t="shared" si="1"/>
        <v/>
      </c>
      <c r="G22" s="90"/>
      <c r="H22" s="91"/>
      <c r="I22" s="89" t="str">
        <f t="shared" si="2"/>
        <v/>
      </c>
    </row>
    <row r="23" spans="1:9" s="89" customFormat="1" ht="16.5">
      <c r="A23" s="87"/>
      <c r="B23" s="88"/>
      <c r="C23" s="89" t="str">
        <f t="shared" si="0"/>
        <v/>
      </c>
      <c r="D23" s="90"/>
      <c r="E23" s="91"/>
      <c r="F23" s="89" t="str">
        <f t="shared" si="1"/>
        <v/>
      </c>
      <c r="G23" s="90"/>
      <c r="H23" s="91"/>
      <c r="I23" s="89" t="str">
        <f t="shared" si="2"/>
        <v/>
      </c>
    </row>
    <row r="24" spans="1:9" s="89" customFormat="1" ht="16.5">
      <c r="A24" s="87"/>
      <c r="B24" s="88"/>
      <c r="C24" s="89" t="str">
        <f t="shared" si="0"/>
        <v/>
      </c>
      <c r="D24" s="90"/>
      <c r="E24" s="91"/>
      <c r="F24" s="89" t="str">
        <f t="shared" si="1"/>
        <v/>
      </c>
      <c r="G24" s="90"/>
      <c r="H24" s="91"/>
      <c r="I24" s="89" t="str">
        <f t="shared" si="2"/>
        <v/>
      </c>
    </row>
    <row r="25" spans="1:9" s="89" customFormat="1" ht="16.5">
      <c r="A25" s="87"/>
      <c r="B25" s="88"/>
      <c r="C25" s="89" t="str">
        <f t="shared" si="0"/>
        <v/>
      </c>
      <c r="D25" s="90"/>
      <c r="E25" s="91"/>
      <c r="F25" s="89" t="str">
        <f t="shared" si="1"/>
        <v/>
      </c>
      <c r="G25" s="90"/>
      <c r="H25" s="91"/>
      <c r="I25" s="89" t="str">
        <f t="shared" si="2"/>
        <v/>
      </c>
    </row>
    <row r="26" spans="1:9" s="89" customFormat="1" ht="16.5">
      <c r="A26" s="87"/>
      <c r="B26" s="88"/>
      <c r="C26" s="89" t="str">
        <f t="shared" si="0"/>
        <v/>
      </c>
      <c r="D26" s="90"/>
      <c r="E26" s="91"/>
      <c r="F26" s="89" t="str">
        <f t="shared" si="1"/>
        <v/>
      </c>
      <c r="G26" s="90"/>
      <c r="H26" s="91"/>
      <c r="I26" s="89" t="str">
        <f t="shared" si="2"/>
        <v/>
      </c>
    </row>
    <row r="27" spans="1:9" s="89" customFormat="1" ht="16.5">
      <c r="A27" s="87"/>
      <c r="B27" s="88"/>
      <c r="C27" s="89" t="str">
        <f t="shared" si="0"/>
        <v/>
      </c>
      <c r="D27" s="90"/>
      <c r="E27" s="91"/>
      <c r="F27" s="89" t="str">
        <f t="shared" si="1"/>
        <v/>
      </c>
      <c r="G27" s="90"/>
      <c r="H27" s="91"/>
      <c r="I27" s="89" t="str">
        <f t="shared" si="2"/>
        <v/>
      </c>
    </row>
    <row r="28" spans="1:9" s="89" customFormat="1" ht="16.5">
      <c r="A28" s="87"/>
      <c r="B28" s="88"/>
      <c r="C28" s="89" t="str">
        <f t="shared" si="0"/>
        <v/>
      </c>
      <c r="D28" s="90"/>
      <c r="E28" s="91"/>
      <c r="F28" s="89" t="str">
        <f t="shared" si="1"/>
        <v/>
      </c>
      <c r="G28" s="90"/>
      <c r="H28" s="91"/>
      <c r="I28" s="89" t="str">
        <f t="shared" si="2"/>
        <v/>
      </c>
    </row>
    <row r="29" spans="1:9" s="89" customFormat="1" ht="16.5">
      <c r="A29" s="87"/>
      <c r="B29" s="88"/>
      <c r="C29" s="89" t="str">
        <f t="shared" si="0"/>
        <v/>
      </c>
      <c r="D29" s="90"/>
      <c r="E29" s="91"/>
      <c r="F29" s="89" t="str">
        <f t="shared" si="1"/>
        <v/>
      </c>
      <c r="G29" s="90"/>
      <c r="H29" s="91"/>
      <c r="I29" s="89" t="str">
        <f t="shared" si="2"/>
        <v/>
      </c>
    </row>
    <row r="30" spans="1:9" s="89" customFormat="1" ht="16.5">
      <c r="A30" s="87"/>
      <c r="B30" s="88"/>
      <c r="C30" s="89" t="str">
        <f t="shared" si="0"/>
        <v/>
      </c>
      <c r="D30" s="90"/>
      <c r="E30" s="91"/>
      <c r="F30" s="89" t="str">
        <f t="shared" si="1"/>
        <v/>
      </c>
      <c r="G30" s="90"/>
      <c r="H30" s="91"/>
      <c r="I30" s="89" t="str">
        <f t="shared" si="2"/>
        <v/>
      </c>
    </row>
    <row r="31" spans="1:9" s="89" customFormat="1" ht="16.5">
      <c r="A31" s="87"/>
      <c r="B31" s="88"/>
      <c r="C31" s="89" t="str">
        <f t="shared" si="0"/>
        <v/>
      </c>
      <c r="D31" s="90"/>
      <c r="E31" s="91"/>
      <c r="F31" s="89" t="str">
        <f t="shared" si="1"/>
        <v/>
      </c>
      <c r="G31" s="90"/>
      <c r="H31" s="91"/>
      <c r="I31" s="89" t="str">
        <f t="shared" si="2"/>
        <v/>
      </c>
    </row>
    <row r="32" spans="1:9" s="89" customFormat="1" ht="16.5">
      <c r="A32" s="87"/>
      <c r="B32" s="88"/>
      <c r="C32" s="89" t="str">
        <f t="shared" si="0"/>
        <v/>
      </c>
      <c r="D32" s="90"/>
      <c r="E32" s="91"/>
      <c r="F32" s="89" t="str">
        <f t="shared" si="1"/>
        <v/>
      </c>
      <c r="G32" s="90"/>
      <c r="H32" s="91"/>
      <c r="I32" s="89" t="str">
        <f t="shared" si="2"/>
        <v/>
      </c>
    </row>
    <row r="33" spans="1:9" s="89" customFormat="1" ht="16.5">
      <c r="A33" s="87"/>
      <c r="B33" s="88"/>
      <c r="C33" s="89" t="str">
        <f t="shared" si="0"/>
        <v/>
      </c>
      <c r="D33" s="90"/>
      <c r="E33" s="91"/>
      <c r="F33" s="89" t="str">
        <f t="shared" si="1"/>
        <v/>
      </c>
      <c r="G33" s="90"/>
      <c r="H33" s="91"/>
      <c r="I33" s="89" t="str">
        <f t="shared" si="2"/>
        <v/>
      </c>
    </row>
    <row r="34" spans="1:9" s="89" customFormat="1" ht="16.5">
      <c r="A34" s="87"/>
      <c r="B34" s="88"/>
      <c r="C34" s="89" t="str">
        <f t="shared" si="0"/>
        <v/>
      </c>
      <c r="D34" s="90"/>
      <c r="E34" s="91"/>
      <c r="F34" s="89" t="str">
        <f t="shared" si="1"/>
        <v/>
      </c>
      <c r="G34" s="90"/>
      <c r="H34" s="91"/>
      <c r="I34" s="89" t="str">
        <f t="shared" si="2"/>
        <v/>
      </c>
    </row>
    <row r="35" spans="1:9" s="89" customFormat="1" ht="16.5">
      <c r="A35" s="87"/>
      <c r="B35" s="88"/>
      <c r="C35" s="89" t="str">
        <f t="shared" si="0"/>
        <v/>
      </c>
      <c r="D35" s="90"/>
      <c r="E35" s="91"/>
      <c r="F35" s="89" t="str">
        <f t="shared" si="1"/>
        <v/>
      </c>
      <c r="G35" s="90"/>
      <c r="H35" s="91"/>
      <c r="I35" s="89" t="str">
        <f t="shared" si="2"/>
        <v/>
      </c>
    </row>
    <row r="36" spans="1:9" s="89" customFormat="1" ht="16.5">
      <c r="A36" s="87"/>
      <c r="B36" s="88"/>
      <c r="C36" s="89" t="str">
        <f t="shared" si="0"/>
        <v/>
      </c>
      <c r="D36" s="90"/>
      <c r="E36" s="91"/>
      <c r="F36" s="89" t="str">
        <f t="shared" si="1"/>
        <v/>
      </c>
      <c r="G36" s="90"/>
      <c r="H36" s="91"/>
      <c r="I36" s="89" t="str">
        <f t="shared" si="2"/>
        <v/>
      </c>
    </row>
    <row r="37" spans="1:9" s="89" customFormat="1" ht="16.5">
      <c r="A37" s="87"/>
      <c r="B37" s="88"/>
      <c r="C37" s="89" t="str">
        <f t="shared" si="0"/>
        <v/>
      </c>
      <c r="D37" s="90"/>
      <c r="E37" s="91"/>
      <c r="F37" s="89" t="str">
        <f t="shared" si="1"/>
        <v/>
      </c>
      <c r="G37" s="90"/>
      <c r="H37" s="91"/>
      <c r="I37" s="89" t="str">
        <f t="shared" si="2"/>
        <v/>
      </c>
    </row>
    <row r="38" spans="1:9" s="89" customFormat="1" ht="16.5">
      <c r="A38" s="87"/>
      <c r="B38" s="88"/>
      <c r="C38" s="89" t="str">
        <f t="shared" si="0"/>
        <v/>
      </c>
      <c r="D38" s="90"/>
      <c r="E38" s="91"/>
      <c r="F38" s="89" t="str">
        <f t="shared" si="1"/>
        <v/>
      </c>
      <c r="G38" s="90"/>
      <c r="H38" s="91"/>
      <c r="I38" s="89" t="str">
        <f t="shared" si="2"/>
        <v/>
      </c>
    </row>
    <row r="39" spans="1:9" s="89" customFormat="1" ht="16.5">
      <c r="A39" s="87"/>
      <c r="B39" s="88"/>
      <c r="C39" s="89" t="str">
        <f t="shared" si="0"/>
        <v/>
      </c>
      <c r="D39" s="90"/>
      <c r="E39" s="91"/>
      <c r="F39" s="89" t="str">
        <f t="shared" si="1"/>
        <v/>
      </c>
      <c r="G39" s="90"/>
      <c r="H39" s="91"/>
      <c r="I39" s="89" t="str">
        <f t="shared" si="2"/>
        <v/>
      </c>
    </row>
    <row r="40" spans="1:9" s="89" customFormat="1" ht="16.5">
      <c r="A40" s="87"/>
      <c r="B40" s="88"/>
      <c r="C40" s="89" t="str">
        <f t="shared" si="0"/>
        <v/>
      </c>
      <c r="D40" s="90"/>
      <c r="E40" s="91"/>
      <c r="F40" s="89" t="str">
        <f t="shared" si="1"/>
        <v/>
      </c>
      <c r="G40" s="90"/>
      <c r="H40" s="91"/>
      <c r="I40" s="89" t="str">
        <f t="shared" si="2"/>
        <v/>
      </c>
    </row>
    <row r="41" spans="1:9" s="89" customFormat="1" ht="16.5">
      <c r="A41" s="87"/>
      <c r="B41" s="88"/>
      <c r="C41" s="89" t="str">
        <f t="shared" si="0"/>
        <v/>
      </c>
      <c r="D41" s="90"/>
      <c r="E41" s="91"/>
      <c r="F41" s="89" t="str">
        <f t="shared" si="1"/>
        <v/>
      </c>
      <c r="G41" s="90"/>
      <c r="H41" s="91"/>
      <c r="I41" s="89" t="str">
        <f t="shared" si="2"/>
        <v/>
      </c>
    </row>
    <row r="42" spans="1:9" s="89" customFormat="1" ht="16.5">
      <c r="A42" s="87"/>
      <c r="B42" s="88"/>
      <c r="C42" s="89" t="str">
        <f t="shared" si="0"/>
        <v/>
      </c>
      <c r="D42" s="90"/>
      <c r="E42" s="91"/>
      <c r="F42" s="89" t="str">
        <f t="shared" si="1"/>
        <v/>
      </c>
      <c r="G42" s="90"/>
      <c r="H42" s="91"/>
      <c r="I42" s="89" t="str">
        <f t="shared" si="2"/>
        <v/>
      </c>
    </row>
    <row r="43" spans="1:9" s="89" customFormat="1" ht="16.5">
      <c r="A43" s="87"/>
      <c r="B43" s="88"/>
      <c r="C43" s="89" t="str">
        <f t="shared" si="0"/>
        <v/>
      </c>
      <c r="D43" s="90"/>
      <c r="E43" s="91"/>
      <c r="F43" s="89" t="str">
        <f t="shared" si="1"/>
        <v/>
      </c>
      <c r="G43" s="90"/>
      <c r="H43" s="91"/>
      <c r="I43" s="89" t="str">
        <f t="shared" si="2"/>
        <v/>
      </c>
    </row>
    <row r="44" spans="1:9" s="89" customFormat="1" ht="16.5">
      <c r="A44" s="87"/>
      <c r="B44" s="88"/>
      <c r="C44" s="89" t="str">
        <f t="shared" si="0"/>
        <v/>
      </c>
      <c r="D44" s="90"/>
      <c r="E44" s="91"/>
      <c r="F44" s="89" t="str">
        <f t="shared" si="1"/>
        <v/>
      </c>
      <c r="G44" s="90"/>
      <c r="H44" s="91"/>
      <c r="I44" s="89" t="str">
        <f t="shared" si="2"/>
        <v/>
      </c>
    </row>
    <row r="45" spans="1:9" s="89" customFormat="1" ht="16.5">
      <c r="A45" s="87"/>
      <c r="B45" s="88"/>
      <c r="C45" s="89" t="str">
        <f t="shared" si="0"/>
        <v/>
      </c>
      <c r="D45" s="90"/>
      <c r="E45" s="91"/>
      <c r="F45" s="89" t="str">
        <f t="shared" si="1"/>
        <v/>
      </c>
      <c r="G45" s="90"/>
      <c r="H45" s="91"/>
      <c r="I45" s="89" t="str">
        <f t="shared" si="2"/>
        <v/>
      </c>
    </row>
    <row r="46" spans="1:9" s="89" customFormat="1" ht="16.5">
      <c r="A46" s="87"/>
      <c r="B46" s="88"/>
      <c r="C46" s="89" t="str">
        <f t="shared" si="0"/>
        <v/>
      </c>
      <c r="D46" s="90"/>
      <c r="E46" s="91"/>
      <c r="F46" s="89" t="str">
        <f t="shared" si="1"/>
        <v/>
      </c>
      <c r="G46" s="90"/>
      <c r="H46" s="91"/>
      <c r="I46" s="89" t="str">
        <f t="shared" si="2"/>
        <v/>
      </c>
    </row>
    <row r="47" spans="1:9" s="89" customFormat="1" ht="16.5">
      <c r="A47" s="87"/>
      <c r="B47" s="88"/>
      <c r="C47" s="89" t="str">
        <f t="shared" si="0"/>
        <v/>
      </c>
      <c r="D47" s="90"/>
      <c r="E47" s="91"/>
      <c r="F47" s="89" t="str">
        <f t="shared" si="1"/>
        <v/>
      </c>
      <c r="G47" s="90"/>
      <c r="H47" s="91"/>
      <c r="I47" s="89" t="str">
        <f t="shared" si="2"/>
        <v/>
      </c>
    </row>
    <row r="48" spans="1:9" s="89" customFormat="1" ht="16.5">
      <c r="A48" s="87"/>
      <c r="B48" s="88"/>
      <c r="C48" s="89" t="str">
        <f t="shared" si="0"/>
        <v/>
      </c>
      <c r="D48" s="90"/>
      <c r="E48" s="91"/>
      <c r="F48" s="89" t="str">
        <f t="shared" si="1"/>
        <v/>
      </c>
      <c r="G48" s="90"/>
      <c r="H48" s="91"/>
      <c r="I48" s="89" t="str">
        <f t="shared" si="2"/>
        <v/>
      </c>
    </row>
    <row r="49" spans="1:9" s="89" customFormat="1" ht="16.5">
      <c r="A49" s="87"/>
      <c r="B49" s="88"/>
      <c r="C49" s="89" t="str">
        <f t="shared" si="0"/>
        <v/>
      </c>
      <c r="D49" s="90"/>
      <c r="E49" s="91"/>
      <c r="F49" s="89" t="str">
        <f t="shared" si="1"/>
        <v/>
      </c>
      <c r="G49" s="90"/>
      <c r="H49" s="91"/>
      <c r="I49" s="89" t="str">
        <f t="shared" si="2"/>
        <v/>
      </c>
    </row>
    <row r="50" spans="1:9" s="89" customFormat="1" ht="16.5">
      <c r="A50" s="87"/>
      <c r="B50" s="88"/>
      <c r="C50" s="89" t="str">
        <f t="shared" si="0"/>
        <v/>
      </c>
      <c r="D50" s="90"/>
      <c r="E50" s="91"/>
      <c r="F50" s="89" t="str">
        <f t="shared" si="1"/>
        <v/>
      </c>
      <c r="G50" s="90"/>
      <c r="H50" s="91"/>
      <c r="I50" s="89" t="str">
        <f t="shared" si="2"/>
        <v/>
      </c>
    </row>
    <row r="51" spans="1:9" s="89" customFormat="1" ht="16.5">
      <c r="A51" s="87"/>
      <c r="B51" s="88"/>
      <c r="C51" s="89" t="str">
        <f t="shared" si="0"/>
        <v/>
      </c>
      <c r="D51" s="90"/>
      <c r="E51" s="91"/>
      <c r="F51" s="89" t="str">
        <f t="shared" si="1"/>
        <v/>
      </c>
      <c r="G51" s="90"/>
      <c r="H51" s="91"/>
      <c r="I51" s="89" t="str">
        <f t="shared" si="2"/>
        <v/>
      </c>
    </row>
    <row r="52" spans="1:9" s="89" customFormat="1" ht="16.5">
      <c r="A52" s="87"/>
      <c r="B52" s="88"/>
      <c r="C52" s="89" t="str">
        <f t="shared" si="0"/>
        <v/>
      </c>
      <c r="D52" s="90"/>
      <c r="E52" s="91"/>
      <c r="F52" s="89" t="str">
        <f t="shared" si="1"/>
        <v/>
      </c>
      <c r="G52" s="90"/>
      <c r="H52" s="91"/>
      <c r="I52" s="89" t="str">
        <f t="shared" si="2"/>
        <v/>
      </c>
    </row>
    <row r="53" spans="1:9" s="89" customFormat="1" ht="16.5">
      <c r="A53" s="87"/>
      <c r="B53" s="88"/>
      <c r="C53" s="89" t="str">
        <f t="shared" ref="C53:C116" si="3">IF(B53&gt;0,TEXT(B53,"(aaa)"),"")</f>
        <v/>
      </c>
      <c r="D53" s="90"/>
      <c r="E53" s="91"/>
      <c r="F53" s="89" t="str">
        <f t="shared" ref="F53:F116" si="4">IF(E53&gt;0,TEXT(E53,"(aaa)"),"")</f>
        <v/>
      </c>
      <c r="G53" s="90"/>
      <c r="H53" s="91"/>
      <c r="I53" s="89" t="str">
        <f t="shared" ref="I53:I116" si="5">IF(H53&gt;0,TEXT(H53,"(aaa)"),"")</f>
        <v/>
      </c>
    </row>
    <row r="54" spans="1:9" s="89" customFormat="1" ht="16.5">
      <c r="A54" s="87"/>
      <c r="B54" s="88"/>
      <c r="C54" s="89" t="str">
        <f t="shared" si="3"/>
        <v/>
      </c>
      <c r="D54" s="90"/>
      <c r="E54" s="91"/>
      <c r="F54" s="89" t="str">
        <f t="shared" si="4"/>
        <v/>
      </c>
      <c r="G54" s="90"/>
      <c r="H54" s="91"/>
      <c r="I54" s="89" t="str">
        <f t="shared" si="5"/>
        <v/>
      </c>
    </row>
    <row r="55" spans="1:9" s="89" customFormat="1" ht="16.5">
      <c r="A55" s="87"/>
      <c r="B55" s="88"/>
      <c r="C55" s="89" t="str">
        <f t="shared" si="3"/>
        <v/>
      </c>
      <c r="D55" s="90"/>
      <c r="E55" s="91"/>
      <c r="F55" s="89" t="str">
        <f t="shared" si="4"/>
        <v/>
      </c>
      <c r="G55" s="90"/>
      <c r="H55" s="91"/>
      <c r="I55" s="89" t="str">
        <f t="shared" si="5"/>
        <v/>
      </c>
    </row>
    <row r="56" spans="1:9" s="89" customFormat="1" ht="16.5">
      <c r="A56" s="87"/>
      <c r="B56" s="88"/>
      <c r="C56" s="89" t="str">
        <f t="shared" si="3"/>
        <v/>
      </c>
      <c r="D56" s="90"/>
      <c r="E56" s="91"/>
      <c r="F56" s="89" t="str">
        <f t="shared" si="4"/>
        <v/>
      </c>
      <c r="G56" s="90"/>
      <c r="H56" s="91"/>
      <c r="I56" s="89" t="str">
        <f t="shared" si="5"/>
        <v/>
      </c>
    </row>
    <row r="57" spans="1:9" s="89" customFormat="1" ht="16.5">
      <c r="A57" s="87"/>
      <c r="B57" s="88"/>
      <c r="C57" s="89" t="str">
        <f t="shared" si="3"/>
        <v/>
      </c>
      <c r="D57" s="90"/>
      <c r="E57" s="91"/>
      <c r="F57" s="89" t="str">
        <f t="shared" si="4"/>
        <v/>
      </c>
      <c r="G57" s="90"/>
      <c r="H57" s="91"/>
      <c r="I57" s="89" t="str">
        <f t="shared" si="5"/>
        <v/>
      </c>
    </row>
    <row r="58" spans="1:9" s="89" customFormat="1" ht="16.5">
      <c r="A58" s="87"/>
      <c r="B58" s="88"/>
      <c r="C58" s="89" t="str">
        <f t="shared" si="3"/>
        <v/>
      </c>
      <c r="D58" s="90"/>
      <c r="E58" s="91"/>
      <c r="F58" s="89" t="str">
        <f t="shared" si="4"/>
        <v/>
      </c>
      <c r="G58" s="90"/>
      <c r="H58" s="91"/>
      <c r="I58" s="89" t="str">
        <f t="shared" si="5"/>
        <v/>
      </c>
    </row>
    <row r="59" spans="1:9" s="89" customFormat="1" ht="16.5">
      <c r="A59" s="87"/>
      <c r="B59" s="88"/>
      <c r="C59" s="89" t="str">
        <f t="shared" si="3"/>
        <v/>
      </c>
      <c r="D59" s="90"/>
      <c r="E59" s="91"/>
      <c r="F59" s="89" t="str">
        <f t="shared" si="4"/>
        <v/>
      </c>
      <c r="G59" s="90"/>
      <c r="H59" s="91"/>
      <c r="I59" s="89" t="str">
        <f t="shared" si="5"/>
        <v/>
      </c>
    </row>
    <row r="60" spans="1:9" s="89" customFormat="1" ht="16.5">
      <c r="A60" s="87"/>
      <c r="B60" s="88"/>
      <c r="C60" s="89" t="str">
        <f t="shared" si="3"/>
        <v/>
      </c>
      <c r="D60" s="90"/>
      <c r="E60" s="91"/>
      <c r="F60" s="89" t="str">
        <f t="shared" si="4"/>
        <v/>
      </c>
      <c r="G60" s="90"/>
      <c r="H60" s="91"/>
      <c r="I60" s="89" t="str">
        <f t="shared" si="5"/>
        <v/>
      </c>
    </row>
    <row r="61" spans="1:9" s="89" customFormat="1" ht="16.5">
      <c r="A61" s="87"/>
      <c r="B61" s="88"/>
      <c r="C61" s="89" t="str">
        <f t="shared" si="3"/>
        <v/>
      </c>
      <c r="D61" s="90"/>
      <c r="E61" s="91"/>
      <c r="F61" s="89" t="str">
        <f t="shared" si="4"/>
        <v/>
      </c>
      <c r="G61" s="90"/>
      <c r="H61" s="91"/>
      <c r="I61" s="89" t="str">
        <f t="shared" si="5"/>
        <v/>
      </c>
    </row>
    <row r="62" spans="1:9" s="89" customFormat="1" ht="16.5">
      <c r="A62" s="87"/>
      <c r="B62" s="88"/>
      <c r="C62" s="89" t="str">
        <f t="shared" si="3"/>
        <v/>
      </c>
      <c r="D62" s="90"/>
      <c r="E62" s="91"/>
      <c r="F62" s="89" t="str">
        <f t="shared" si="4"/>
        <v/>
      </c>
      <c r="G62" s="90"/>
      <c r="H62" s="91"/>
      <c r="I62" s="89" t="str">
        <f t="shared" si="5"/>
        <v/>
      </c>
    </row>
    <row r="63" spans="1:9" s="89" customFormat="1" ht="16.5">
      <c r="A63" s="87"/>
      <c r="B63" s="88"/>
      <c r="C63" s="89" t="str">
        <f t="shared" si="3"/>
        <v/>
      </c>
      <c r="D63" s="90"/>
      <c r="E63" s="91"/>
      <c r="F63" s="89" t="str">
        <f t="shared" si="4"/>
        <v/>
      </c>
      <c r="G63" s="90"/>
      <c r="H63" s="91"/>
      <c r="I63" s="89" t="str">
        <f t="shared" si="5"/>
        <v/>
      </c>
    </row>
    <row r="64" spans="1:9" s="89" customFormat="1" ht="16.5">
      <c r="A64" s="87"/>
      <c r="B64" s="88"/>
      <c r="C64" s="89" t="str">
        <f t="shared" si="3"/>
        <v/>
      </c>
      <c r="D64" s="90"/>
      <c r="E64" s="91"/>
      <c r="F64" s="89" t="str">
        <f t="shared" si="4"/>
        <v/>
      </c>
      <c r="G64" s="90"/>
      <c r="H64" s="91"/>
      <c r="I64" s="89" t="str">
        <f t="shared" si="5"/>
        <v/>
      </c>
    </row>
    <row r="65" spans="1:9" s="89" customFormat="1" ht="16.5">
      <c r="A65" s="87"/>
      <c r="B65" s="88"/>
      <c r="C65" s="89" t="str">
        <f t="shared" si="3"/>
        <v/>
      </c>
      <c r="D65" s="90"/>
      <c r="E65" s="91"/>
      <c r="F65" s="89" t="str">
        <f t="shared" si="4"/>
        <v/>
      </c>
      <c r="G65" s="90"/>
      <c r="H65" s="91"/>
      <c r="I65" s="89" t="str">
        <f t="shared" si="5"/>
        <v/>
      </c>
    </row>
    <row r="66" spans="1:9" s="89" customFormat="1" ht="16.5">
      <c r="A66" s="87"/>
      <c r="B66" s="88"/>
      <c r="C66" s="89" t="str">
        <f t="shared" si="3"/>
        <v/>
      </c>
      <c r="D66" s="90"/>
      <c r="E66" s="91"/>
      <c r="F66" s="89" t="str">
        <f t="shared" si="4"/>
        <v/>
      </c>
      <c r="G66" s="90"/>
      <c r="H66" s="91"/>
      <c r="I66" s="89" t="str">
        <f t="shared" si="5"/>
        <v/>
      </c>
    </row>
    <row r="67" spans="1:9" s="89" customFormat="1" ht="16.5">
      <c r="A67" s="87"/>
      <c r="B67" s="88"/>
      <c r="C67" s="89" t="str">
        <f t="shared" si="3"/>
        <v/>
      </c>
      <c r="D67" s="90"/>
      <c r="E67" s="91"/>
      <c r="F67" s="89" t="str">
        <f t="shared" si="4"/>
        <v/>
      </c>
      <c r="G67" s="90"/>
      <c r="H67" s="91"/>
      <c r="I67" s="89" t="str">
        <f t="shared" si="5"/>
        <v/>
      </c>
    </row>
    <row r="68" spans="1:9" s="89" customFormat="1" ht="16.5">
      <c r="A68" s="87"/>
      <c r="B68" s="88"/>
      <c r="C68" s="89" t="str">
        <f t="shared" si="3"/>
        <v/>
      </c>
      <c r="D68" s="90"/>
      <c r="E68" s="91"/>
      <c r="F68" s="89" t="str">
        <f t="shared" si="4"/>
        <v/>
      </c>
      <c r="G68" s="90"/>
      <c r="H68" s="91"/>
      <c r="I68" s="89" t="str">
        <f t="shared" si="5"/>
        <v/>
      </c>
    </row>
    <row r="69" spans="1:9" s="89" customFormat="1" ht="16.5">
      <c r="A69" s="87"/>
      <c r="B69" s="88"/>
      <c r="C69" s="89" t="str">
        <f t="shared" si="3"/>
        <v/>
      </c>
      <c r="D69" s="90"/>
      <c r="E69" s="91"/>
      <c r="F69" s="89" t="str">
        <f t="shared" si="4"/>
        <v/>
      </c>
      <c r="G69" s="90"/>
      <c r="H69" s="91"/>
      <c r="I69" s="89" t="str">
        <f t="shared" si="5"/>
        <v/>
      </c>
    </row>
    <row r="70" spans="1:9" s="89" customFormat="1" ht="16.5">
      <c r="A70" s="87"/>
      <c r="B70" s="88"/>
      <c r="C70" s="89" t="str">
        <f t="shared" si="3"/>
        <v/>
      </c>
      <c r="D70" s="90"/>
      <c r="E70" s="91"/>
      <c r="F70" s="89" t="str">
        <f t="shared" si="4"/>
        <v/>
      </c>
      <c r="G70" s="90"/>
      <c r="H70" s="91"/>
      <c r="I70" s="89" t="str">
        <f t="shared" si="5"/>
        <v/>
      </c>
    </row>
    <row r="71" spans="1:9" s="89" customFormat="1" ht="16.5">
      <c r="A71" s="87"/>
      <c r="B71" s="88"/>
      <c r="C71" s="89" t="str">
        <f t="shared" si="3"/>
        <v/>
      </c>
      <c r="D71" s="90"/>
      <c r="E71" s="91"/>
      <c r="F71" s="89" t="str">
        <f t="shared" si="4"/>
        <v/>
      </c>
      <c r="G71" s="90"/>
      <c r="H71" s="91"/>
      <c r="I71" s="89" t="str">
        <f t="shared" si="5"/>
        <v/>
      </c>
    </row>
    <row r="72" spans="1:9" s="89" customFormat="1" ht="16.5">
      <c r="A72" s="87"/>
      <c r="B72" s="88"/>
      <c r="C72" s="89" t="str">
        <f t="shared" si="3"/>
        <v/>
      </c>
      <c r="D72" s="90"/>
      <c r="E72" s="91"/>
      <c r="F72" s="89" t="str">
        <f t="shared" si="4"/>
        <v/>
      </c>
      <c r="G72" s="90"/>
      <c r="H72" s="91"/>
      <c r="I72" s="89" t="str">
        <f t="shared" si="5"/>
        <v/>
      </c>
    </row>
    <row r="73" spans="1:9" s="89" customFormat="1" ht="16.5">
      <c r="A73" s="87"/>
      <c r="B73" s="88"/>
      <c r="C73" s="89" t="str">
        <f t="shared" si="3"/>
        <v/>
      </c>
      <c r="D73" s="90"/>
      <c r="E73" s="91"/>
      <c r="F73" s="89" t="str">
        <f t="shared" si="4"/>
        <v/>
      </c>
      <c r="G73" s="90"/>
      <c r="H73" s="91"/>
      <c r="I73" s="89" t="str">
        <f t="shared" si="5"/>
        <v/>
      </c>
    </row>
    <row r="74" spans="1:9" s="89" customFormat="1" ht="16.5">
      <c r="A74" s="87"/>
      <c r="B74" s="88"/>
      <c r="C74" s="89" t="str">
        <f t="shared" si="3"/>
        <v/>
      </c>
      <c r="D74" s="90"/>
      <c r="E74" s="91"/>
      <c r="F74" s="89" t="str">
        <f t="shared" si="4"/>
        <v/>
      </c>
      <c r="G74" s="90"/>
      <c r="H74" s="91"/>
      <c r="I74" s="89" t="str">
        <f t="shared" si="5"/>
        <v/>
      </c>
    </row>
    <row r="75" spans="1:9" s="89" customFormat="1" ht="16.5">
      <c r="A75" s="87"/>
      <c r="B75" s="88"/>
      <c r="C75" s="89" t="str">
        <f t="shared" si="3"/>
        <v/>
      </c>
      <c r="D75" s="90"/>
      <c r="E75" s="91"/>
      <c r="F75" s="89" t="str">
        <f t="shared" si="4"/>
        <v/>
      </c>
      <c r="G75" s="90"/>
      <c r="H75" s="91"/>
      <c r="I75" s="89" t="str">
        <f t="shared" si="5"/>
        <v/>
      </c>
    </row>
    <row r="76" spans="1:9" s="89" customFormat="1" ht="16.5">
      <c r="A76" s="87"/>
      <c r="B76" s="88"/>
      <c r="C76" s="89" t="str">
        <f t="shared" si="3"/>
        <v/>
      </c>
      <c r="D76" s="90"/>
      <c r="E76" s="91"/>
      <c r="F76" s="89" t="str">
        <f t="shared" si="4"/>
        <v/>
      </c>
      <c r="G76" s="90"/>
      <c r="H76" s="91"/>
      <c r="I76" s="89" t="str">
        <f t="shared" si="5"/>
        <v/>
      </c>
    </row>
    <row r="77" spans="1:9" s="89" customFormat="1" ht="16.5">
      <c r="A77" s="87"/>
      <c r="B77" s="88"/>
      <c r="C77" s="89" t="str">
        <f t="shared" si="3"/>
        <v/>
      </c>
      <c r="D77" s="90"/>
      <c r="E77" s="91"/>
      <c r="F77" s="89" t="str">
        <f t="shared" si="4"/>
        <v/>
      </c>
      <c r="G77" s="90"/>
      <c r="H77" s="91"/>
      <c r="I77" s="89" t="str">
        <f t="shared" si="5"/>
        <v/>
      </c>
    </row>
    <row r="78" spans="1:9" s="89" customFormat="1" ht="16.5">
      <c r="A78" s="87"/>
      <c r="B78" s="88"/>
      <c r="C78" s="89" t="str">
        <f t="shared" si="3"/>
        <v/>
      </c>
      <c r="D78" s="90"/>
      <c r="E78" s="91"/>
      <c r="F78" s="89" t="str">
        <f t="shared" si="4"/>
        <v/>
      </c>
      <c r="G78" s="90"/>
      <c r="H78" s="91"/>
      <c r="I78" s="89" t="str">
        <f t="shared" si="5"/>
        <v/>
      </c>
    </row>
    <row r="79" spans="1:9" s="89" customFormat="1" ht="16.5">
      <c r="A79" s="87"/>
      <c r="B79" s="88"/>
      <c r="C79" s="89" t="str">
        <f t="shared" si="3"/>
        <v/>
      </c>
      <c r="D79" s="90"/>
      <c r="E79" s="91"/>
      <c r="F79" s="89" t="str">
        <f t="shared" si="4"/>
        <v/>
      </c>
      <c r="G79" s="90"/>
      <c r="H79" s="91"/>
      <c r="I79" s="89" t="str">
        <f t="shared" si="5"/>
        <v/>
      </c>
    </row>
    <row r="80" spans="1:9" s="89" customFormat="1" ht="16.5">
      <c r="A80" s="87"/>
      <c r="B80" s="88"/>
      <c r="C80" s="89" t="str">
        <f t="shared" si="3"/>
        <v/>
      </c>
      <c r="D80" s="90"/>
      <c r="E80" s="91"/>
      <c r="F80" s="89" t="str">
        <f t="shared" si="4"/>
        <v/>
      </c>
      <c r="G80" s="90"/>
      <c r="H80" s="91"/>
      <c r="I80" s="89" t="str">
        <f t="shared" si="5"/>
        <v/>
      </c>
    </row>
    <row r="81" spans="1:9" s="89" customFormat="1" ht="16.5">
      <c r="A81" s="87"/>
      <c r="B81" s="88"/>
      <c r="C81" s="89" t="str">
        <f t="shared" si="3"/>
        <v/>
      </c>
      <c r="D81" s="90"/>
      <c r="E81" s="91"/>
      <c r="F81" s="89" t="str">
        <f t="shared" si="4"/>
        <v/>
      </c>
      <c r="G81" s="90"/>
      <c r="H81" s="91"/>
      <c r="I81" s="89" t="str">
        <f t="shared" si="5"/>
        <v/>
      </c>
    </row>
    <row r="82" spans="1:9" s="89" customFormat="1" ht="16.5">
      <c r="A82" s="87"/>
      <c r="B82" s="88"/>
      <c r="C82" s="89" t="str">
        <f t="shared" si="3"/>
        <v/>
      </c>
      <c r="D82" s="90"/>
      <c r="E82" s="91"/>
      <c r="F82" s="89" t="str">
        <f t="shared" si="4"/>
        <v/>
      </c>
      <c r="G82" s="90"/>
      <c r="H82" s="91"/>
      <c r="I82" s="89" t="str">
        <f t="shared" si="5"/>
        <v/>
      </c>
    </row>
    <row r="83" spans="1:9" s="89" customFormat="1" ht="16.5">
      <c r="A83" s="87"/>
      <c r="B83" s="88"/>
      <c r="C83" s="89" t="str">
        <f t="shared" si="3"/>
        <v/>
      </c>
      <c r="D83" s="90"/>
      <c r="E83" s="91"/>
      <c r="F83" s="89" t="str">
        <f t="shared" si="4"/>
        <v/>
      </c>
      <c r="G83" s="90"/>
      <c r="H83" s="91"/>
      <c r="I83" s="89" t="str">
        <f t="shared" si="5"/>
        <v/>
      </c>
    </row>
    <row r="84" spans="1:9" s="89" customFormat="1" ht="16.5">
      <c r="A84" s="87"/>
      <c r="B84" s="88"/>
      <c r="C84" s="89" t="str">
        <f t="shared" si="3"/>
        <v/>
      </c>
      <c r="D84" s="90"/>
      <c r="E84" s="91"/>
      <c r="F84" s="89" t="str">
        <f t="shared" si="4"/>
        <v/>
      </c>
      <c r="G84" s="90"/>
      <c r="H84" s="91"/>
      <c r="I84" s="89" t="str">
        <f t="shared" si="5"/>
        <v/>
      </c>
    </row>
    <row r="85" spans="1:9" s="89" customFormat="1" ht="16.5">
      <c r="A85" s="87"/>
      <c r="B85" s="88"/>
      <c r="C85" s="89" t="str">
        <f t="shared" si="3"/>
        <v/>
      </c>
      <c r="D85" s="90"/>
      <c r="E85" s="91"/>
      <c r="F85" s="89" t="str">
        <f t="shared" si="4"/>
        <v/>
      </c>
      <c r="G85" s="90"/>
      <c r="H85" s="91"/>
      <c r="I85" s="89" t="str">
        <f t="shared" si="5"/>
        <v/>
      </c>
    </row>
    <row r="86" spans="1:9" s="89" customFormat="1" ht="16.5">
      <c r="A86" s="87"/>
      <c r="B86" s="88"/>
      <c r="C86" s="89" t="str">
        <f t="shared" si="3"/>
        <v/>
      </c>
      <c r="D86" s="90"/>
      <c r="E86" s="91"/>
      <c r="F86" s="89" t="str">
        <f t="shared" si="4"/>
        <v/>
      </c>
      <c r="G86" s="90"/>
      <c r="H86" s="91"/>
      <c r="I86" s="89" t="str">
        <f t="shared" si="5"/>
        <v/>
      </c>
    </row>
    <row r="87" spans="1:9" s="89" customFormat="1" ht="16.5">
      <c r="A87" s="87"/>
      <c r="B87" s="88"/>
      <c r="C87" s="89" t="str">
        <f t="shared" si="3"/>
        <v/>
      </c>
      <c r="D87" s="90"/>
      <c r="E87" s="91"/>
      <c r="F87" s="89" t="str">
        <f t="shared" si="4"/>
        <v/>
      </c>
      <c r="G87" s="90"/>
      <c r="H87" s="91"/>
      <c r="I87" s="89" t="str">
        <f t="shared" si="5"/>
        <v/>
      </c>
    </row>
    <row r="88" spans="1:9" s="89" customFormat="1" ht="16.5">
      <c r="A88" s="87"/>
      <c r="B88" s="88"/>
      <c r="C88" s="89" t="str">
        <f t="shared" si="3"/>
        <v/>
      </c>
      <c r="D88" s="90"/>
      <c r="E88" s="91"/>
      <c r="F88" s="89" t="str">
        <f t="shared" si="4"/>
        <v/>
      </c>
      <c r="G88" s="90"/>
      <c r="H88" s="91"/>
      <c r="I88" s="89" t="str">
        <f t="shared" si="5"/>
        <v/>
      </c>
    </row>
    <row r="89" spans="1:9" s="89" customFormat="1" ht="16.5">
      <c r="A89" s="87"/>
      <c r="B89" s="88"/>
      <c r="C89" s="89" t="str">
        <f t="shared" si="3"/>
        <v/>
      </c>
      <c r="D89" s="90"/>
      <c r="E89" s="91"/>
      <c r="F89" s="89" t="str">
        <f t="shared" si="4"/>
        <v/>
      </c>
      <c r="G89" s="90"/>
      <c r="H89" s="91"/>
      <c r="I89" s="89" t="str">
        <f t="shared" si="5"/>
        <v/>
      </c>
    </row>
    <row r="90" spans="1:9" s="89" customFormat="1" ht="16.5">
      <c r="A90" s="87"/>
      <c r="B90" s="88"/>
      <c r="C90" s="89" t="str">
        <f t="shared" si="3"/>
        <v/>
      </c>
      <c r="D90" s="90"/>
      <c r="E90" s="91"/>
      <c r="F90" s="89" t="str">
        <f t="shared" si="4"/>
        <v/>
      </c>
      <c r="G90" s="90"/>
      <c r="H90" s="91"/>
      <c r="I90" s="89" t="str">
        <f t="shared" si="5"/>
        <v/>
      </c>
    </row>
    <row r="91" spans="1:9" s="89" customFormat="1" ht="16.5">
      <c r="A91" s="87"/>
      <c r="B91" s="88"/>
      <c r="C91" s="89" t="str">
        <f t="shared" si="3"/>
        <v/>
      </c>
      <c r="D91" s="90"/>
      <c r="E91" s="91"/>
      <c r="F91" s="89" t="str">
        <f t="shared" si="4"/>
        <v/>
      </c>
      <c r="G91" s="90"/>
      <c r="H91" s="91"/>
      <c r="I91" s="89" t="str">
        <f t="shared" si="5"/>
        <v/>
      </c>
    </row>
    <row r="92" spans="1:9" s="89" customFormat="1" ht="16.5">
      <c r="A92" s="87"/>
      <c r="B92" s="88"/>
      <c r="C92" s="89" t="str">
        <f t="shared" si="3"/>
        <v/>
      </c>
      <c r="D92" s="90"/>
      <c r="E92" s="91"/>
      <c r="F92" s="89" t="str">
        <f t="shared" si="4"/>
        <v/>
      </c>
      <c r="G92" s="90"/>
      <c r="H92" s="91"/>
      <c r="I92" s="89" t="str">
        <f t="shared" si="5"/>
        <v/>
      </c>
    </row>
    <row r="93" spans="1:9" s="89" customFormat="1" ht="16.5">
      <c r="A93" s="87"/>
      <c r="B93" s="88"/>
      <c r="C93" s="89" t="str">
        <f t="shared" si="3"/>
        <v/>
      </c>
      <c r="D93" s="90"/>
      <c r="E93" s="91"/>
      <c r="F93" s="89" t="str">
        <f t="shared" si="4"/>
        <v/>
      </c>
      <c r="G93" s="90"/>
      <c r="H93" s="91"/>
      <c r="I93" s="89" t="str">
        <f t="shared" si="5"/>
        <v/>
      </c>
    </row>
    <row r="94" spans="1:9" s="89" customFormat="1" ht="16.5">
      <c r="A94" s="87"/>
      <c r="B94" s="88"/>
      <c r="C94" s="89" t="str">
        <f t="shared" si="3"/>
        <v/>
      </c>
      <c r="D94" s="90"/>
      <c r="E94" s="91"/>
      <c r="F94" s="89" t="str">
        <f t="shared" si="4"/>
        <v/>
      </c>
      <c r="G94" s="90"/>
      <c r="H94" s="91"/>
      <c r="I94" s="89" t="str">
        <f t="shared" si="5"/>
        <v/>
      </c>
    </row>
    <row r="95" spans="1:9" s="89" customFormat="1" ht="16.5">
      <c r="A95" s="87"/>
      <c r="B95" s="88"/>
      <c r="C95" s="89" t="str">
        <f t="shared" si="3"/>
        <v/>
      </c>
      <c r="D95" s="90"/>
      <c r="E95" s="91"/>
      <c r="F95" s="89" t="str">
        <f t="shared" si="4"/>
        <v/>
      </c>
      <c r="G95" s="90"/>
      <c r="H95" s="91"/>
      <c r="I95" s="89" t="str">
        <f t="shared" si="5"/>
        <v/>
      </c>
    </row>
    <row r="96" spans="1:9" s="89" customFormat="1" ht="16.5">
      <c r="A96" s="87"/>
      <c r="B96" s="88"/>
      <c r="C96" s="89" t="str">
        <f t="shared" si="3"/>
        <v/>
      </c>
      <c r="D96" s="90"/>
      <c r="E96" s="91"/>
      <c r="F96" s="89" t="str">
        <f t="shared" si="4"/>
        <v/>
      </c>
      <c r="G96" s="90"/>
      <c r="H96" s="91"/>
      <c r="I96" s="89" t="str">
        <f t="shared" si="5"/>
        <v/>
      </c>
    </row>
    <row r="97" spans="1:9" s="89" customFormat="1" ht="16.5">
      <c r="A97" s="87"/>
      <c r="B97" s="88"/>
      <c r="C97" s="89" t="str">
        <f t="shared" si="3"/>
        <v/>
      </c>
      <c r="D97" s="90"/>
      <c r="E97" s="91"/>
      <c r="F97" s="89" t="str">
        <f t="shared" si="4"/>
        <v/>
      </c>
      <c r="G97" s="90"/>
      <c r="H97" s="91"/>
      <c r="I97" s="89" t="str">
        <f t="shared" si="5"/>
        <v/>
      </c>
    </row>
    <row r="98" spans="1:9" s="89" customFormat="1" ht="16.5">
      <c r="A98" s="87"/>
      <c r="B98" s="88"/>
      <c r="C98" s="89" t="str">
        <f t="shared" si="3"/>
        <v/>
      </c>
      <c r="D98" s="90"/>
      <c r="E98" s="91"/>
      <c r="F98" s="89" t="str">
        <f t="shared" si="4"/>
        <v/>
      </c>
      <c r="G98" s="90"/>
      <c r="H98" s="91"/>
      <c r="I98" s="89" t="str">
        <f t="shared" si="5"/>
        <v/>
      </c>
    </row>
    <row r="99" spans="1:9" s="89" customFormat="1" ht="16.5">
      <c r="A99" s="87"/>
      <c r="B99" s="88"/>
      <c r="C99" s="89" t="str">
        <f t="shared" si="3"/>
        <v/>
      </c>
      <c r="D99" s="90"/>
      <c r="E99" s="91"/>
      <c r="F99" s="89" t="str">
        <f t="shared" si="4"/>
        <v/>
      </c>
      <c r="G99" s="90"/>
      <c r="H99" s="91"/>
      <c r="I99" s="89" t="str">
        <f t="shared" si="5"/>
        <v/>
      </c>
    </row>
    <row r="100" spans="1:9" s="89" customFormat="1" ht="16.5">
      <c r="A100" s="87"/>
      <c r="B100" s="88"/>
      <c r="C100" s="89" t="str">
        <f t="shared" si="3"/>
        <v/>
      </c>
      <c r="D100" s="90"/>
      <c r="E100" s="91"/>
      <c r="F100" s="89" t="str">
        <f t="shared" si="4"/>
        <v/>
      </c>
      <c r="G100" s="90"/>
      <c r="H100" s="91"/>
      <c r="I100" s="89" t="str">
        <f t="shared" si="5"/>
        <v/>
      </c>
    </row>
    <row r="101" spans="1:9" s="89" customFormat="1" ht="16.5">
      <c r="A101" s="87"/>
      <c r="B101" s="88"/>
      <c r="C101" s="89" t="str">
        <f t="shared" si="3"/>
        <v/>
      </c>
      <c r="D101" s="90"/>
      <c r="E101" s="91"/>
      <c r="F101" s="89" t="str">
        <f t="shared" si="4"/>
        <v/>
      </c>
      <c r="G101" s="90"/>
      <c r="H101" s="91"/>
      <c r="I101" s="89" t="str">
        <f t="shared" si="5"/>
        <v/>
      </c>
    </row>
    <row r="102" spans="1:9" s="89" customFormat="1" ht="16.5">
      <c r="A102" s="87"/>
      <c r="B102" s="88"/>
      <c r="C102" s="89" t="str">
        <f t="shared" si="3"/>
        <v/>
      </c>
      <c r="D102" s="90"/>
      <c r="E102" s="91"/>
      <c r="F102" s="89" t="str">
        <f t="shared" si="4"/>
        <v/>
      </c>
      <c r="G102" s="90"/>
      <c r="H102" s="91"/>
      <c r="I102" s="89" t="str">
        <f t="shared" si="5"/>
        <v/>
      </c>
    </row>
    <row r="103" spans="1:9" s="89" customFormat="1" ht="16.5">
      <c r="A103" s="87"/>
      <c r="B103" s="88"/>
      <c r="C103" s="89" t="str">
        <f t="shared" si="3"/>
        <v/>
      </c>
      <c r="D103" s="90"/>
      <c r="E103" s="91"/>
      <c r="F103" s="89" t="str">
        <f t="shared" si="4"/>
        <v/>
      </c>
      <c r="G103" s="90"/>
      <c r="H103" s="91"/>
      <c r="I103" s="89" t="str">
        <f t="shared" si="5"/>
        <v/>
      </c>
    </row>
    <row r="104" spans="1:9" s="89" customFormat="1" ht="16.5">
      <c r="A104" s="87"/>
      <c r="B104" s="88"/>
      <c r="C104" s="89" t="str">
        <f t="shared" si="3"/>
        <v/>
      </c>
      <c r="D104" s="90"/>
      <c r="E104" s="91"/>
      <c r="F104" s="89" t="str">
        <f t="shared" si="4"/>
        <v/>
      </c>
      <c r="G104" s="90"/>
      <c r="H104" s="91"/>
      <c r="I104" s="89" t="str">
        <f t="shared" si="5"/>
        <v/>
      </c>
    </row>
    <row r="105" spans="1:9" s="89" customFormat="1" ht="16.5">
      <c r="A105" s="87"/>
      <c r="B105" s="88"/>
      <c r="C105" s="89" t="str">
        <f t="shared" si="3"/>
        <v/>
      </c>
      <c r="D105" s="90"/>
      <c r="E105" s="91"/>
      <c r="F105" s="89" t="str">
        <f t="shared" si="4"/>
        <v/>
      </c>
      <c r="G105" s="90"/>
      <c r="H105" s="91"/>
      <c r="I105" s="89" t="str">
        <f t="shared" si="5"/>
        <v/>
      </c>
    </row>
    <row r="106" spans="1:9" s="89" customFormat="1" ht="16.5">
      <c r="A106" s="87"/>
      <c r="B106" s="88"/>
      <c r="C106" s="89" t="str">
        <f t="shared" si="3"/>
        <v/>
      </c>
      <c r="D106" s="90"/>
      <c r="E106" s="91"/>
      <c r="F106" s="89" t="str">
        <f t="shared" si="4"/>
        <v/>
      </c>
      <c r="G106" s="90"/>
      <c r="H106" s="91"/>
      <c r="I106" s="89" t="str">
        <f t="shared" si="5"/>
        <v/>
      </c>
    </row>
    <row r="107" spans="1:9" s="89" customFormat="1" ht="16.5">
      <c r="A107" s="87"/>
      <c r="B107" s="88"/>
      <c r="C107" s="89" t="str">
        <f t="shared" si="3"/>
        <v/>
      </c>
      <c r="D107" s="90"/>
      <c r="E107" s="91"/>
      <c r="F107" s="89" t="str">
        <f t="shared" si="4"/>
        <v/>
      </c>
      <c r="G107" s="90"/>
      <c r="H107" s="91"/>
      <c r="I107" s="89" t="str">
        <f t="shared" si="5"/>
        <v/>
      </c>
    </row>
    <row r="108" spans="1:9" s="89" customFormat="1" ht="16.5">
      <c r="A108" s="87"/>
      <c r="B108" s="88"/>
      <c r="C108" s="89" t="str">
        <f t="shared" si="3"/>
        <v/>
      </c>
      <c r="D108" s="90"/>
      <c r="E108" s="91"/>
      <c r="F108" s="89" t="str">
        <f t="shared" si="4"/>
        <v/>
      </c>
      <c r="G108" s="90"/>
      <c r="H108" s="91"/>
      <c r="I108" s="89" t="str">
        <f t="shared" si="5"/>
        <v/>
      </c>
    </row>
    <row r="109" spans="1:9" s="89" customFormat="1" ht="16.5">
      <c r="A109" s="87"/>
      <c r="B109" s="88"/>
      <c r="C109" s="89" t="str">
        <f t="shared" si="3"/>
        <v/>
      </c>
      <c r="D109" s="90"/>
      <c r="E109" s="91"/>
      <c r="F109" s="89" t="str">
        <f t="shared" si="4"/>
        <v/>
      </c>
      <c r="G109" s="90"/>
      <c r="H109" s="91"/>
      <c r="I109" s="89" t="str">
        <f t="shared" si="5"/>
        <v/>
      </c>
    </row>
    <row r="110" spans="1:9" s="89" customFormat="1" ht="16.5">
      <c r="A110" s="87"/>
      <c r="B110" s="88"/>
      <c r="C110" s="89" t="str">
        <f t="shared" si="3"/>
        <v/>
      </c>
      <c r="D110" s="90"/>
      <c r="E110" s="91"/>
      <c r="F110" s="89" t="str">
        <f t="shared" si="4"/>
        <v/>
      </c>
      <c r="G110" s="90"/>
      <c r="H110" s="91"/>
      <c r="I110" s="89" t="str">
        <f t="shared" si="5"/>
        <v/>
      </c>
    </row>
    <row r="111" spans="1:9" s="89" customFormat="1" ht="16.5">
      <c r="A111" s="87"/>
      <c r="B111" s="88"/>
      <c r="C111" s="89" t="str">
        <f t="shared" si="3"/>
        <v/>
      </c>
      <c r="D111" s="90"/>
      <c r="E111" s="91"/>
      <c r="F111" s="89" t="str">
        <f t="shared" si="4"/>
        <v/>
      </c>
      <c r="G111" s="90"/>
      <c r="H111" s="91"/>
      <c r="I111" s="89" t="str">
        <f t="shared" si="5"/>
        <v/>
      </c>
    </row>
    <row r="112" spans="1:9" s="89" customFormat="1" ht="16.5">
      <c r="A112" s="87"/>
      <c r="B112" s="88"/>
      <c r="C112" s="89" t="str">
        <f t="shared" si="3"/>
        <v/>
      </c>
      <c r="D112" s="90"/>
      <c r="E112" s="91"/>
      <c r="F112" s="89" t="str">
        <f t="shared" si="4"/>
        <v/>
      </c>
      <c r="G112" s="90"/>
      <c r="H112" s="91"/>
      <c r="I112" s="89" t="str">
        <f t="shared" si="5"/>
        <v/>
      </c>
    </row>
    <row r="113" spans="1:9" s="89" customFormat="1" ht="16.5">
      <c r="A113" s="87"/>
      <c r="B113" s="88"/>
      <c r="C113" s="89" t="str">
        <f t="shared" si="3"/>
        <v/>
      </c>
      <c r="D113" s="90"/>
      <c r="E113" s="91"/>
      <c r="F113" s="89" t="str">
        <f t="shared" si="4"/>
        <v/>
      </c>
      <c r="G113" s="90"/>
      <c r="H113" s="91"/>
      <c r="I113" s="89" t="str">
        <f t="shared" si="5"/>
        <v/>
      </c>
    </row>
    <row r="114" spans="1:9" s="89" customFormat="1" ht="16.5">
      <c r="A114" s="87"/>
      <c r="B114" s="88"/>
      <c r="C114" s="89" t="str">
        <f t="shared" si="3"/>
        <v/>
      </c>
      <c r="D114" s="90"/>
      <c r="E114" s="91"/>
      <c r="F114" s="89" t="str">
        <f t="shared" si="4"/>
        <v/>
      </c>
      <c r="G114" s="90"/>
      <c r="H114" s="91"/>
      <c r="I114" s="89" t="str">
        <f t="shared" si="5"/>
        <v/>
      </c>
    </row>
    <row r="115" spans="1:9" s="89" customFormat="1" ht="16.5">
      <c r="A115" s="87"/>
      <c r="B115" s="88"/>
      <c r="C115" s="89" t="str">
        <f t="shared" si="3"/>
        <v/>
      </c>
      <c r="D115" s="90"/>
      <c r="E115" s="91"/>
      <c r="F115" s="89" t="str">
        <f t="shared" si="4"/>
        <v/>
      </c>
      <c r="G115" s="90"/>
      <c r="H115" s="91"/>
      <c r="I115" s="89" t="str">
        <f t="shared" si="5"/>
        <v/>
      </c>
    </row>
    <row r="116" spans="1:9" s="89" customFormat="1" ht="16.5">
      <c r="A116" s="87"/>
      <c r="B116" s="88"/>
      <c r="C116" s="89" t="str">
        <f t="shared" si="3"/>
        <v/>
      </c>
      <c r="D116" s="90"/>
      <c r="E116" s="91"/>
      <c r="F116" s="89" t="str">
        <f t="shared" si="4"/>
        <v/>
      </c>
      <c r="G116" s="90"/>
      <c r="H116" s="91"/>
      <c r="I116" s="89" t="str">
        <f t="shared" si="5"/>
        <v/>
      </c>
    </row>
    <row r="117" spans="1:9" s="89" customFormat="1" ht="16.5">
      <c r="A117" s="87"/>
      <c r="B117" s="88"/>
      <c r="C117" s="89" t="str">
        <f t="shared" ref="C117:C180" si="6">IF(B117&gt;0,TEXT(B117,"(aaa)"),"")</f>
        <v/>
      </c>
      <c r="D117" s="90"/>
      <c r="E117" s="91"/>
      <c r="F117" s="89" t="str">
        <f t="shared" ref="F117:F180" si="7">IF(E117&gt;0,TEXT(E117,"(aaa)"),"")</f>
        <v/>
      </c>
      <c r="G117" s="90"/>
      <c r="H117" s="91"/>
      <c r="I117" s="89" t="str">
        <f t="shared" ref="I117:I180" si="8">IF(H117&gt;0,TEXT(H117,"(aaa)"),"")</f>
        <v/>
      </c>
    </row>
    <row r="118" spans="1:9" s="89" customFormat="1" ht="16.5">
      <c r="A118" s="87"/>
      <c r="B118" s="88"/>
      <c r="C118" s="89" t="str">
        <f t="shared" si="6"/>
        <v/>
      </c>
      <c r="D118" s="90"/>
      <c r="E118" s="91"/>
      <c r="F118" s="89" t="str">
        <f t="shared" si="7"/>
        <v/>
      </c>
      <c r="G118" s="90"/>
      <c r="H118" s="91"/>
      <c r="I118" s="89" t="str">
        <f t="shared" si="8"/>
        <v/>
      </c>
    </row>
    <row r="119" spans="1:9" s="89" customFormat="1" ht="16.5">
      <c r="A119" s="87"/>
      <c r="B119" s="88"/>
      <c r="C119" s="89" t="str">
        <f t="shared" si="6"/>
        <v/>
      </c>
      <c r="D119" s="90"/>
      <c r="E119" s="91"/>
      <c r="F119" s="89" t="str">
        <f t="shared" si="7"/>
        <v/>
      </c>
      <c r="G119" s="90"/>
      <c r="H119" s="91"/>
      <c r="I119" s="89" t="str">
        <f t="shared" si="8"/>
        <v/>
      </c>
    </row>
    <row r="120" spans="1:9" s="89" customFormat="1" ht="16.5">
      <c r="A120" s="87"/>
      <c r="B120" s="88"/>
      <c r="C120" s="89" t="str">
        <f t="shared" si="6"/>
        <v/>
      </c>
      <c r="D120" s="90"/>
      <c r="E120" s="91"/>
      <c r="F120" s="89" t="str">
        <f t="shared" si="7"/>
        <v/>
      </c>
      <c r="G120" s="90"/>
      <c r="H120" s="91"/>
      <c r="I120" s="89" t="str">
        <f t="shared" si="8"/>
        <v/>
      </c>
    </row>
    <row r="121" spans="1:9" s="89" customFormat="1" ht="16.5">
      <c r="A121" s="87"/>
      <c r="B121" s="88"/>
      <c r="C121" s="89" t="str">
        <f t="shared" si="6"/>
        <v/>
      </c>
      <c r="D121" s="90"/>
      <c r="E121" s="91"/>
      <c r="F121" s="89" t="str">
        <f t="shared" si="7"/>
        <v/>
      </c>
      <c r="G121" s="90"/>
      <c r="H121" s="91"/>
      <c r="I121" s="89" t="str">
        <f t="shared" si="8"/>
        <v/>
      </c>
    </row>
    <row r="122" spans="1:9" s="89" customFormat="1" ht="16.5">
      <c r="A122" s="87"/>
      <c r="B122" s="88"/>
      <c r="C122" s="89" t="str">
        <f t="shared" si="6"/>
        <v/>
      </c>
      <c r="D122" s="90"/>
      <c r="E122" s="91"/>
      <c r="F122" s="89" t="str">
        <f t="shared" si="7"/>
        <v/>
      </c>
      <c r="G122" s="90"/>
      <c r="H122" s="91"/>
      <c r="I122" s="89" t="str">
        <f t="shared" si="8"/>
        <v/>
      </c>
    </row>
    <row r="123" spans="1:9" s="89" customFormat="1" ht="16.5">
      <c r="A123" s="87"/>
      <c r="B123" s="88"/>
      <c r="C123" s="89" t="str">
        <f t="shared" si="6"/>
        <v/>
      </c>
      <c r="D123" s="90"/>
      <c r="E123" s="91"/>
      <c r="F123" s="89" t="str">
        <f t="shared" si="7"/>
        <v/>
      </c>
      <c r="G123" s="90"/>
      <c r="H123" s="91"/>
      <c r="I123" s="89" t="str">
        <f t="shared" si="8"/>
        <v/>
      </c>
    </row>
    <row r="124" spans="1:9" s="89" customFormat="1" ht="16.5">
      <c r="A124" s="87"/>
      <c r="B124" s="88"/>
      <c r="C124" s="89" t="str">
        <f t="shared" si="6"/>
        <v/>
      </c>
      <c r="D124" s="90"/>
      <c r="E124" s="91"/>
      <c r="F124" s="89" t="str">
        <f t="shared" si="7"/>
        <v/>
      </c>
      <c r="G124" s="90"/>
      <c r="H124" s="91"/>
      <c r="I124" s="89" t="str">
        <f t="shared" si="8"/>
        <v/>
      </c>
    </row>
    <row r="125" spans="1:9" s="89" customFormat="1" ht="16.5">
      <c r="A125" s="87"/>
      <c r="B125" s="88"/>
      <c r="C125" s="89" t="str">
        <f t="shared" si="6"/>
        <v/>
      </c>
      <c r="D125" s="90"/>
      <c r="E125" s="91"/>
      <c r="F125" s="89" t="str">
        <f t="shared" si="7"/>
        <v/>
      </c>
      <c r="G125" s="90"/>
      <c r="H125" s="91"/>
      <c r="I125" s="89" t="str">
        <f t="shared" si="8"/>
        <v/>
      </c>
    </row>
    <row r="126" spans="1:9" s="89" customFormat="1" ht="16.5">
      <c r="A126" s="87"/>
      <c r="B126" s="88"/>
      <c r="C126" s="89" t="str">
        <f t="shared" si="6"/>
        <v/>
      </c>
      <c r="D126" s="90"/>
      <c r="E126" s="91"/>
      <c r="F126" s="89" t="str">
        <f t="shared" si="7"/>
        <v/>
      </c>
      <c r="G126" s="90"/>
      <c r="H126" s="91"/>
      <c r="I126" s="89" t="str">
        <f t="shared" si="8"/>
        <v/>
      </c>
    </row>
    <row r="127" spans="1:9" s="89" customFormat="1" ht="16.5">
      <c r="A127" s="87"/>
      <c r="B127" s="88"/>
      <c r="C127" s="89" t="str">
        <f t="shared" si="6"/>
        <v/>
      </c>
      <c r="D127" s="90"/>
      <c r="E127" s="91"/>
      <c r="F127" s="89" t="str">
        <f t="shared" si="7"/>
        <v/>
      </c>
      <c r="G127" s="90"/>
      <c r="H127" s="91"/>
      <c r="I127" s="89" t="str">
        <f t="shared" si="8"/>
        <v/>
      </c>
    </row>
    <row r="128" spans="1:9" s="89" customFormat="1" ht="16.5">
      <c r="A128" s="87"/>
      <c r="B128" s="88"/>
      <c r="C128" s="89" t="str">
        <f t="shared" si="6"/>
        <v/>
      </c>
      <c r="D128" s="90"/>
      <c r="E128" s="91"/>
      <c r="F128" s="89" t="str">
        <f t="shared" si="7"/>
        <v/>
      </c>
      <c r="G128" s="90"/>
      <c r="H128" s="91"/>
      <c r="I128" s="89" t="str">
        <f t="shared" si="8"/>
        <v/>
      </c>
    </row>
    <row r="129" spans="1:9" s="89" customFormat="1" ht="16.5">
      <c r="A129" s="87"/>
      <c r="B129" s="88"/>
      <c r="C129" s="89" t="str">
        <f t="shared" si="6"/>
        <v/>
      </c>
      <c r="D129" s="90"/>
      <c r="E129" s="91"/>
      <c r="F129" s="89" t="str">
        <f t="shared" si="7"/>
        <v/>
      </c>
      <c r="G129" s="90"/>
      <c r="H129" s="91"/>
      <c r="I129" s="89" t="str">
        <f t="shared" si="8"/>
        <v/>
      </c>
    </row>
    <row r="130" spans="1:9" s="89" customFormat="1" ht="16.5">
      <c r="A130" s="87"/>
      <c r="B130" s="88"/>
      <c r="C130" s="89" t="str">
        <f t="shared" si="6"/>
        <v/>
      </c>
      <c r="D130" s="90"/>
      <c r="E130" s="91"/>
      <c r="F130" s="89" t="str">
        <f t="shared" si="7"/>
        <v/>
      </c>
      <c r="G130" s="90"/>
      <c r="H130" s="91"/>
      <c r="I130" s="89" t="str">
        <f t="shared" si="8"/>
        <v/>
      </c>
    </row>
    <row r="131" spans="1:9" s="89" customFormat="1" ht="16.5">
      <c r="A131" s="87"/>
      <c r="B131" s="88"/>
      <c r="C131" s="89" t="str">
        <f t="shared" si="6"/>
        <v/>
      </c>
      <c r="D131" s="90"/>
      <c r="E131" s="91"/>
      <c r="F131" s="89" t="str">
        <f t="shared" si="7"/>
        <v/>
      </c>
      <c r="G131" s="90"/>
      <c r="H131" s="91"/>
      <c r="I131" s="89" t="str">
        <f t="shared" si="8"/>
        <v/>
      </c>
    </row>
    <row r="132" spans="1:9" s="89" customFormat="1" ht="16.5">
      <c r="A132" s="87"/>
      <c r="B132" s="88"/>
      <c r="C132" s="89" t="str">
        <f t="shared" si="6"/>
        <v/>
      </c>
      <c r="D132" s="90"/>
      <c r="E132" s="91"/>
      <c r="F132" s="89" t="str">
        <f t="shared" si="7"/>
        <v/>
      </c>
      <c r="G132" s="90"/>
      <c r="H132" s="91"/>
      <c r="I132" s="89" t="str">
        <f t="shared" si="8"/>
        <v/>
      </c>
    </row>
    <row r="133" spans="1:9" s="89" customFormat="1" ht="16.5">
      <c r="A133" s="87"/>
      <c r="B133" s="88"/>
      <c r="C133" s="89" t="str">
        <f t="shared" si="6"/>
        <v/>
      </c>
      <c r="D133" s="90"/>
      <c r="E133" s="91"/>
      <c r="F133" s="89" t="str">
        <f t="shared" si="7"/>
        <v/>
      </c>
      <c r="G133" s="90"/>
      <c r="H133" s="91"/>
      <c r="I133" s="89" t="str">
        <f t="shared" si="8"/>
        <v/>
      </c>
    </row>
    <row r="134" spans="1:9" s="89" customFormat="1" ht="16.5">
      <c r="A134" s="87"/>
      <c r="B134" s="88"/>
      <c r="C134" s="89" t="str">
        <f t="shared" si="6"/>
        <v/>
      </c>
      <c r="D134" s="90"/>
      <c r="E134" s="91"/>
      <c r="F134" s="89" t="str">
        <f t="shared" si="7"/>
        <v/>
      </c>
      <c r="G134" s="90"/>
      <c r="H134" s="91"/>
      <c r="I134" s="89" t="str">
        <f t="shared" si="8"/>
        <v/>
      </c>
    </row>
    <row r="135" spans="1:9" s="89" customFormat="1" ht="16.5">
      <c r="A135" s="87"/>
      <c r="B135" s="88"/>
      <c r="C135" s="89" t="str">
        <f t="shared" si="6"/>
        <v/>
      </c>
      <c r="D135" s="90"/>
      <c r="E135" s="91"/>
      <c r="F135" s="89" t="str">
        <f t="shared" si="7"/>
        <v/>
      </c>
      <c r="G135" s="90"/>
      <c r="H135" s="91"/>
      <c r="I135" s="89" t="str">
        <f t="shared" si="8"/>
        <v/>
      </c>
    </row>
    <row r="136" spans="1:9" s="89" customFormat="1" ht="16.5">
      <c r="A136" s="87"/>
      <c r="B136" s="88"/>
      <c r="C136" s="89" t="str">
        <f t="shared" si="6"/>
        <v/>
      </c>
      <c r="D136" s="90"/>
      <c r="E136" s="91"/>
      <c r="F136" s="89" t="str">
        <f t="shared" si="7"/>
        <v/>
      </c>
      <c r="G136" s="90"/>
      <c r="H136" s="91"/>
      <c r="I136" s="89" t="str">
        <f t="shared" si="8"/>
        <v/>
      </c>
    </row>
    <row r="137" spans="1:9" s="89" customFormat="1" ht="16.5">
      <c r="A137" s="87"/>
      <c r="B137" s="88"/>
      <c r="C137" s="89" t="str">
        <f t="shared" si="6"/>
        <v/>
      </c>
      <c r="D137" s="90"/>
      <c r="E137" s="91"/>
      <c r="F137" s="89" t="str">
        <f t="shared" si="7"/>
        <v/>
      </c>
      <c r="G137" s="90"/>
      <c r="H137" s="91"/>
      <c r="I137" s="89" t="str">
        <f t="shared" si="8"/>
        <v/>
      </c>
    </row>
    <row r="138" spans="1:9" s="89" customFormat="1" ht="16.5">
      <c r="A138" s="87"/>
      <c r="B138" s="88"/>
      <c r="C138" s="89" t="str">
        <f t="shared" si="6"/>
        <v/>
      </c>
      <c r="D138" s="90"/>
      <c r="E138" s="91"/>
      <c r="F138" s="89" t="str">
        <f t="shared" si="7"/>
        <v/>
      </c>
      <c r="G138" s="90"/>
      <c r="H138" s="91"/>
      <c r="I138" s="89" t="str">
        <f t="shared" si="8"/>
        <v/>
      </c>
    </row>
    <row r="139" spans="1:9" s="89" customFormat="1" ht="16.5">
      <c r="A139" s="87"/>
      <c r="B139" s="88"/>
      <c r="C139" s="89" t="str">
        <f t="shared" si="6"/>
        <v/>
      </c>
      <c r="D139" s="90"/>
      <c r="E139" s="91"/>
      <c r="F139" s="89" t="str">
        <f t="shared" si="7"/>
        <v/>
      </c>
      <c r="G139" s="90"/>
      <c r="H139" s="91"/>
      <c r="I139" s="89" t="str">
        <f t="shared" si="8"/>
        <v/>
      </c>
    </row>
    <row r="140" spans="1:9" s="89" customFormat="1" ht="16.5">
      <c r="A140" s="87"/>
      <c r="B140" s="88"/>
      <c r="C140" s="89" t="str">
        <f t="shared" si="6"/>
        <v/>
      </c>
      <c r="D140" s="90"/>
      <c r="E140" s="91"/>
      <c r="F140" s="89" t="str">
        <f t="shared" si="7"/>
        <v/>
      </c>
      <c r="G140" s="90"/>
      <c r="H140" s="91"/>
      <c r="I140" s="89" t="str">
        <f t="shared" si="8"/>
        <v/>
      </c>
    </row>
    <row r="141" spans="1:9" s="89" customFormat="1" ht="16.5">
      <c r="A141" s="87"/>
      <c r="B141" s="88"/>
      <c r="C141" s="89" t="str">
        <f t="shared" si="6"/>
        <v/>
      </c>
      <c r="D141" s="90"/>
      <c r="E141" s="91"/>
      <c r="F141" s="89" t="str">
        <f t="shared" si="7"/>
        <v/>
      </c>
      <c r="G141" s="90"/>
      <c r="H141" s="91"/>
      <c r="I141" s="89" t="str">
        <f t="shared" si="8"/>
        <v/>
      </c>
    </row>
    <row r="142" spans="1:9" s="89" customFormat="1" ht="16.5">
      <c r="A142" s="87"/>
      <c r="B142" s="88"/>
      <c r="C142" s="89" t="str">
        <f t="shared" si="6"/>
        <v/>
      </c>
      <c r="D142" s="90"/>
      <c r="E142" s="91"/>
      <c r="F142" s="89" t="str">
        <f t="shared" si="7"/>
        <v/>
      </c>
      <c r="G142" s="90"/>
      <c r="H142" s="91"/>
      <c r="I142" s="89" t="str">
        <f t="shared" si="8"/>
        <v/>
      </c>
    </row>
    <row r="143" spans="1:9" s="89" customFormat="1" ht="16.5">
      <c r="A143" s="87"/>
      <c r="B143" s="88"/>
      <c r="C143" s="89" t="str">
        <f t="shared" si="6"/>
        <v/>
      </c>
      <c r="D143" s="90"/>
      <c r="E143" s="91"/>
      <c r="F143" s="89" t="str">
        <f t="shared" si="7"/>
        <v/>
      </c>
      <c r="G143" s="90"/>
      <c r="H143" s="91"/>
      <c r="I143" s="89" t="str">
        <f t="shared" si="8"/>
        <v/>
      </c>
    </row>
    <row r="144" spans="1:9" s="89" customFormat="1" ht="16.5">
      <c r="A144" s="87"/>
      <c r="B144" s="88"/>
      <c r="C144" s="89" t="str">
        <f t="shared" si="6"/>
        <v/>
      </c>
      <c r="D144" s="90"/>
      <c r="E144" s="91"/>
      <c r="F144" s="89" t="str">
        <f t="shared" si="7"/>
        <v/>
      </c>
      <c r="G144" s="90"/>
      <c r="H144" s="91"/>
      <c r="I144" s="89" t="str">
        <f t="shared" si="8"/>
        <v/>
      </c>
    </row>
    <row r="145" spans="1:9" s="89" customFormat="1" ht="16.5">
      <c r="A145" s="87"/>
      <c r="B145" s="88"/>
      <c r="C145" s="89" t="str">
        <f t="shared" si="6"/>
        <v/>
      </c>
      <c r="D145" s="90"/>
      <c r="E145" s="91"/>
      <c r="F145" s="89" t="str">
        <f t="shared" si="7"/>
        <v/>
      </c>
      <c r="G145" s="90"/>
      <c r="H145" s="91"/>
      <c r="I145" s="89" t="str">
        <f t="shared" si="8"/>
        <v/>
      </c>
    </row>
    <row r="146" spans="1:9" s="89" customFormat="1" ht="16.5">
      <c r="A146" s="87"/>
      <c r="B146" s="88"/>
      <c r="C146" s="89" t="str">
        <f t="shared" si="6"/>
        <v/>
      </c>
      <c r="D146" s="90"/>
      <c r="E146" s="91"/>
      <c r="F146" s="89" t="str">
        <f t="shared" si="7"/>
        <v/>
      </c>
      <c r="G146" s="90"/>
      <c r="H146" s="91"/>
      <c r="I146" s="89" t="str">
        <f t="shared" si="8"/>
        <v/>
      </c>
    </row>
    <row r="147" spans="1:9" s="89" customFormat="1" ht="16.5">
      <c r="A147" s="87"/>
      <c r="B147" s="88"/>
      <c r="C147" s="89" t="str">
        <f t="shared" si="6"/>
        <v/>
      </c>
      <c r="D147" s="90"/>
      <c r="E147" s="91"/>
      <c r="F147" s="89" t="str">
        <f t="shared" si="7"/>
        <v/>
      </c>
      <c r="G147" s="90"/>
      <c r="H147" s="91"/>
      <c r="I147" s="89" t="str">
        <f t="shared" si="8"/>
        <v/>
      </c>
    </row>
    <row r="148" spans="1:9" s="89" customFormat="1" ht="16.5">
      <c r="A148" s="87"/>
      <c r="B148" s="88"/>
      <c r="C148" s="89" t="str">
        <f t="shared" si="6"/>
        <v/>
      </c>
      <c r="D148" s="90"/>
      <c r="E148" s="91"/>
      <c r="F148" s="89" t="str">
        <f t="shared" si="7"/>
        <v/>
      </c>
      <c r="G148" s="90"/>
      <c r="H148" s="91"/>
      <c r="I148" s="89" t="str">
        <f t="shared" si="8"/>
        <v/>
      </c>
    </row>
    <row r="149" spans="1:9" s="89" customFormat="1" ht="16.5">
      <c r="A149" s="87"/>
      <c r="B149" s="88"/>
      <c r="C149" s="89" t="str">
        <f t="shared" si="6"/>
        <v/>
      </c>
      <c r="D149" s="90"/>
      <c r="E149" s="91"/>
      <c r="F149" s="89" t="str">
        <f t="shared" si="7"/>
        <v/>
      </c>
      <c r="G149" s="90"/>
      <c r="H149" s="91"/>
      <c r="I149" s="89" t="str">
        <f t="shared" si="8"/>
        <v/>
      </c>
    </row>
    <row r="150" spans="1:9" s="89" customFormat="1" ht="16.5">
      <c r="A150" s="87"/>
      <c r="B150" s="88"/>
      <c r="C150" s="89" t="str">
        <f t="shared" si="6"/>
        <v/>
      </c>
      <c r="D150" s="90"/>
      <c r="E150" s="91"/>
      <c r="F150" s="89" t="str">
        <f t="shared" si="7"/>
        <v/>
      </c>
      <c r="G150" s="90"/>
      <c r="H150" s="91"/>
      <c r="I150" s="89" t="str">
        <f t="shared" si="8"/>
        <v/>
      </c>
    </row>
    <row r="151" spans="1:9" s="89" customFormat="1" ht="16.5">
      <c r="A151" s="87"/>
      <c r="B151" s="88"/>
      <c r="C151" s="89" t="str">
        <f t="shared" si="6"/>
        <v/>
      </c>
      <c r="D151" s="90"/>
      <c r="E151" s="91"/>
      <c r="F151" s="89" t="str">
        <f t="shared" si="7"/>
        <v/>
      </c>
      <c r="G151" s="90"/>
      <c r="H151" s="91"/>
      <c r="I151" s="89" t="str">
        <f t="shared" si="8"/>
        <v/>
      </c>
    </row>
    <row r="152" spans="1:9" s="89" customFormat="1" ht="16.5">
      <c r="A152" s="87"/>
      <c r="B152" s="88"/>
      <c r="C152" s="89" t="str">
        <f t="shared" si="6"/>
        <v/>
      </c>
      <c r="D152" s="90"/>
      <c r="E152" s="91"/>
      <c r="F152" s="89" t="str">
        <f t="shared" si="7"/>
        <v/>
      </c>
      <c r="G152" s="90"/>
      <c r="H152" s="91"/>
      <c r="I152" s="89" t="str">
        <f t="shared" si="8"/>
        <v/>
      </c>
    </row>
    <row r="153" spans="1:9" s="89" customFormat="1" ht="16.5">
      <c r="A153" s="87"/>
      <c r="B153" s="88"/>
      <c r="C153" s="89" t="str">
        <f t="shared" si="6"/>
        <v/>
      </c>
      <c r="D153" s="90"/>
      <c r="E153" s="91"/>
      <c r="F153" s="89" t="str">
        <f t="shared" si="7"/>
        <v/>
      </c>
      <c r="G153" s="90"/>
      <c r="H153" s="91"/>
      <c r="I153" s="89" t="str">
        <f t="shared" si="8"/>
        <v/>
      </c>
    </row>
    <row r="154" spans="1:9" s="89" customFormat="1" ht="16.5">
      <c r="A154" s="87"/>
      <c r="B154" s="88"/>
      <c r="C154" s="89" t="str">
        <f t="shared" si="6"/>
        <v/>
      </c>
      <c r="D154" s="90"/>
      <c r="E154" s="91"/>
      <c r="F154" s="89" t="str">
        <f t="shared" si="7"/>
        <v/>
      </c>
      <c r="G154" s="90"/>
      <c r="H154" s="91"/>
      <c r="I154" s="89" t="str">
        <f t="shared" si="8"/>
        <v/>
      </c>
    </row>
    <row r="155" spans="1:9" s="89" customFormat="1" ht="16.5">
      <c r="A155" s="87"/>
      <c r="B155" s="88"/>
      <c r="C155" s="89" t="str">
        <f t="shared" si="6"/>
        <v/>
      </c>
      <c r="D155" s="90"/>
      <c r="E155" s="91"/>
      <c r="F155" s="89" t="str">
        <f t="shared" si="7"/>
        <v/>
      </c>
      <c r="G155" s="90"/>
      <c r="H155" s="91"/>
      <c r="I155" s="89" t="str">
        <f t="shared" si="8"/>
        <v/>
      </c>
    </row>
    <row r="156" spans="1:9" s="89" customFormat="1" ht="16.5">
      <c r="A156" s="87"/>
      <c r="B156" s="88"/>
      <c r="C156" s="89" t="str">
        <f t="shared" si="6"/>
        <v/>
      </c>
      <c r="D156" s="90"/>
      <c r="E156" s="91"/>
      <c r="F156" s="89" t="str">
        <f t="shared" si="7"/>
        <v/>
      </c>
      <c r="G156" s="90"/>
      <c r="H156" s="91"/>
      <c r="I156" s="89" t="str">
        <f t="shared" si="8"/>
        <v/>
      </c>
    </row>
    <row r="157" spans="1:9" s="89" customFormat="1" ht="16.5">
      <c r="A157" s="87"/>
      <c r="B157" s="88"/>
      <c r="C157" s="89" t="str">
        <f t="shared" si="6"/>
        <v/>
      </c>
      <c r="D157" s="90"/>
      <c r="E157" s="91"/>
      <c r="F157" s="89" t="str">
        <f t="shared" si="7"/>
        <v/>
      </c>
      <c r="G157" s="90"/>
      <c r="H157" s="91"/>
      <c r="I157" s="89" t="str">
        <f t="shared" si="8"/>
        <v/>
      </c>
    </row>
    <row r="158" spans="1:9" s="89" customFormat="1" ht="16.5">
      <c r="A158" s="87"/>
      <c r="B158" s="88"/>
      <c r="C158" s="89" t="str">
        <f t="shared" si="6"/>
        <v/>
      </c>
      <c r="D158" s="90"/>
      <c r="E158" s="91"/>
      <c r="F158" s="89" t="str">
        <f t="shared" si="7"/>
        <v/>
      </c>
      <c r="G158" s="90"/>
      <c r="H158" s="91"/>
      <c r="I158" s="89" t="str">
        <f t="shared" si="8"/>
        <v/>
      </c>
    </row>
    <row r="159" spans="1:9" s="89" customFormat="1" ht="16.5">
      <c r="A159" s="87"/>
      <c r="B159" s="88"/>
      <c r="C159" s="89" t="str">
        <f t="shared" si="6"/>
        <v/>
      </c>
      <c r="D159" s="90"/>
      <c r="E159" s="91"/>
      <c r="F159" s="89" t="str">
        <f t="shared" si="7"/>
        <v/>
      </c>
      <c r="G159" s="90"/>
      <c r="H159" s="91"/>
      <c r="I159" s="89" t="str">
        <f t="shared" si="8"/>
        <v/>
      </c>
    </row>
    <row r="160" spans="1:9" s="89" customFormat="1" ht="16.5">
      <c r="A160" s="87"/>
      <c r="B160" s="88"/>
      <c r="C160" s="89" t="str">
        <f t="shared" si="6"/>
        <v/>
      </c>
      <c r="D160" s="90"/>
      <c r="E160" s="91"/>
      <c r="F160" s="89" t="str">
        <f t="shared" si="7"/>
        <v/>
      </c>
      <c r="G160" s="90"/>
      <c r="H160" s="91"/>
      <c r="I160" s="89" t="str">
        <f t="shared" si="8"/>
        <v/>
      </c>
    </row>
    <row r="161" spans="1:9" s="89" customFormat="1" ht="16.5">
      <c r="A161" s="87"/>
      <c r="B161" s="88"/>
      <c r="C161" s="89" t="str">
        <f t="shared" si="6"/>
        <v/>
      </c>
      <c r="D161" s="90"/>
      <c r="E161" s="91"/>
      <c r="F161" s="89" t="str">
        <f t="shared" si="7"/>
        <v/>
      </c>
      <c r="G161" s="90"/>
      <c r="H161" s="91"/>
      <c r="I161" s="89" t="str">
        <f t="shared" si="8"/>
        <v/>
      </c>
    </row>
    <row r="162" spans="1:9" s="89" customFormat="1" ht="16.5">
      <c r="A162" s="87"/>
      <c r="B162" s="88"/>
      <c r="C162" s="89" t="str">
        <f t="shared" si="6"/>
        <v/>
      </c>
      <c r="D162" s="90"/>
      <c r="E162" s="91"/>
      <c r="F162" s="89" t="str">
        <f t="shared" si="7"/>
        <v/>
      </c>
      <c r="G162" s="90"/>
      <c r="H162" s="91"/>
      <c r="I162" s="89" t="str">
        <f t="shared" si="8"/>
        <v/>
      </c>
    </row>
    <row r="163" spans="1:9" s="89" customFormat="1" ht="16.5">
      <c r="A163" s="87"/>
      <c r="B163" s="88"/>
      <c r="C163" s="89" t="str">
        <f t="shared" si="6"/>
        <v/>
      </c>
      <c r="D163" s="90"/>
      <c r="E163" s="91"/>
      <c r="F163" s="89" t="str">
        <f t="shared" si="7"/>
        <v/>
      </c>
      <c r="G163" s="90"/>
      <c r="H163" s="91"/>
      <c r="I163" s="89" t="str">
        <f t="shared" si="8"/>
        <v/>
      </c>
    </row>
    <row r="164" spans="1:9" s="89" customFormat="1" ht="16.5">
      <c r="A164" s="87"/>
      <c r="B164" s="88"/>
      <c r="C164" s="89" t="str">
        <f t="shared" si="6"/>
        <v/>
      </c>
      <c r="D164" s="90"/>
      <c r="E164" s="91"/>
      <c r="F164" s="89" t="str">
        <f t="shared" si="7"/>
        <v/>
      </c>
      <c r="G164" s="90"/>
      <c r="H164" s="91"/>
      <c r="I164" s="89" t="str">
        <f t="shared" si="8"/>
        <v/>
      </c>
    </row>
    <row r="165" spans="1:9" s="89" customFormat="1" ht="16.5">
      <c r="A165" s="87"/>
      <c r="B165" s="88"/>
      <c r="C165" s="89" t="str">
        <f t="shared" si="6"/>
        <v/>
      </c>
      <c r="D165" s="90"/>
      <c r="E165" s="91"/>
      <c r="F165" s="89" t="str">
        <f t="shared" si="7"/>
        <v/>
      </c>
      <c r="G165" s="90"/>
      <c r="H165" s="91"/>
      <c r="I165" s="89" t="str">
        <f t="shared" si="8"/>
        <v/>
      </c>
    </row>
    <row r="166" spans="1:9" s="89" customFormat="1" ht="16.5">
      <c r="A166" s="87"/>
      <c r="B166" s="88"/>
      <c r="C166" s="89" t="str">
        <f t="shared" si="6"/>
        <v/>
      </c>
      <c r="D166" s="90"/>
      <c r="E166" s="91"/>
      <c r="F166" s="89" t="str">
        <f t="shared" si="7"/>
        <v/>
      </c>
      <c r="G166" s="90"/>
      <c r="H166" s="91"/>
      <c r="I166" s="89" t="str">
        <f t="shared" si="8"/>
        <v/>
      </c>
    </row>
    <row r="167" spans="1:9" s="89" customFormat="1" ht="16.5">
      <c r="A167" s="87"/>
      <c r="B167" s="88"/>
      <c r="C167" s="89" t="str">
        <f t="shared" si="6"/>
        <v/>
      </c>
      <c r="D167" s="90"/>
      <c r="E167" s="91"/>
      <c r="F167" s="89" t="str">
        <f t="shared" si="7"/>
        <v/>
      </c>
      <c r="G167" s="90"/>
      <c r="H167" s="91"/>
      <c r="I167" s="89" t="str">
        <f t="shared" si="8"/>
        <v/>
      </c>
    </row>
    <row r="168" spans="1:9" s="89" customFormat="1" ht="16.5">
      <c r="A168" s="87"/>
      <c r="B168" s="88"/>
      <c r="C168" s="89" t="str">
        <f t="shared" si="6"/>
        <v/>
      </c>
      <c r="D168" s="90"/>
      <c r="E168" s="91"/>
      <c r="F168" s="89" t="str">
        <f t="shared" si="7"/>
        <v/>
      </c>
      <c r="G168" s="90"/>
      <c r="H168" s="91"/>
      <c r="I168" s="89" t="str">
        <f t="shared" si="8"/>
        <v/>
      </c>
    </row>
    <row r="169" spans="1:9" s="89" customFormat="1" ht="16.5">
      <c r="A169" s="87"/>
      <c r="B169" s="88"/>
      <c r="C169" s="89" t="str">
        <f t="shared" si="6"/>
        <v/>
      </c>
      <c r="D169" s="90"/>
      <c r="E169" s="91"/>
      <c r="F169" s="89" t="str">
        <f t="shared" si="7"/>
        <v/>
      </c>
      <c r="G169" s="90"/>
      <c r="H169" s="91"/>
      <c r="I169" s="89" t="str">
        <f t="shared" si="8"/>
        <v/>
      </c>
    </row>
    <row r="170" spans="1:9" s="89" customFormat="1" ht="16.5">
      <c r="A170" s="87"/>
      <c r="B170" s="88"/>
      <c r="C170" s="89" t="str">
        <f t="shared" si="6"/>
        <v/>
      </c>
      <c r="D170" s="90"/>
      <c r="E170" s="91"/>
      <c r="F170" s="89" t="str">
        <f t="shared" si="7"/>
        <v/>
      </c>
      <c r="G170" s="90"/>
      <c r="H170" s="91"/>
      <c r="I170" s="89" t="str">
        <f t="shared" si="8"/>
        <v/>
      </c>
    </row>
    <row r="171" spans="1:9" s="89" customFormat="1" ht="16.5">
      <c r="A171" s="87"/>
      <c r="B171" s="88"/>
      <c r="C171" s="89" t="str">
        <f t="shared" si="6"/>
        <v/>
      </c>
      <c r="D171" s="90"/>
      <c r="E171" s="91"/>
      <c r="F171" s="89" t="str">
        <f t="shared" si="7"/>
        <v/>
      </c>
      <c r="G171" s="90"/>
      <c r="H171" s="91"/>
      <c r="I171" s="89" t="str">
        <f t="shared" si="8"/>
        <v/>
      </c>
    </row>
    <row r="172" spans="1:9" s="89" customFormat="1" ht="16.5">
      <c r="A172" s="87"/>
      <c r="B172" s="88"/>
      <c r="C172" s="89" t="str">
        <f t="shared" si="6"/>
        <v/>
      </c>
      <c r="D172" s="90"/>
      <c r="E172" s="91"/>
      <c r="F172" s="89" t="str">
        <f t="shared" si="7"/>
        <v/>
      </c>
      <c r="G172" s="90"/>
      <c r="H172" s="91"/>
      <c r="I172" s="89" t="str">
        <f t="shared" si="8"/>
        <v/>
      </c>
    </row>
    <row r="173" spans="1:9" s="89" customFormat="1" ht="16.5">
      <c r="A173" s="87"/>
      <c r="B173" s="88"/>
      <c r="C173" s="89" t="str">
        <f t="shared" si="6"/>
        <v/>
      </c>
      <c r="D173" s="90"/>
      <c r="E173" s="91"/>
      <c r="F173" s="89" t="str">
        <f t="shared" si="7"/>
        <v/>
      </c>
      <c r="G173" s="90"/>
      <c r="H173" s="91"/>
      <c r="I173" s="89" t="str">
        <f t="shared" si="8"/>
        <v/>
      </c>
    </row>
    <row r="174" spans="1:9" s="89" customFormat="1" ht="16.5">
      <c r="A174" s="87"/>
      <c r="B174" s="88"/>
      <c r="C174" s="89" t="str">
        <f t="shared" si="6"/>
        <v/>
      </c>
      <c r="D174" s="90"/>
      <c r="E174" s="91"/>
      <c r="F174" s="89" t="str">
        <f t="shared" si="7"/>
        <v/>
      </c>
      <c r="G174" s="90"/>
      <c r="H174" s="91"/>
      <c r="I174" s="89" t="str">
        <f t="shared" si="8"/>
        <v/>
      </c>
    </row>
    <row r="175" spans="1:9" s="89" customFormat="1" ht="16.5">
      <c r="A175" s="87"/>
      <c r="B175" s="88"/>
      <c r="C175" s="89" t="str">
        <f t="shared" si="6"/>
        <v/>
      </c>
      <c r="D175" s="90"/>
      <c r="E175" s="91"/>
      <c r="F175" s="89" t="str">
        <f t="shared" si="7"/>
        <v/>
      </c>
      <c r="G175" s="90"/>
      <c r="H175" s="91"/>
      <c r="I175" s="89" t="str">
        <f t="shared" si="8"/>
        <v/>
      </c>
    </row>
    <row r="176" spans="1:9" s="89" customFormat="1" ht="16.5">
      <c r="A176" s="87"/>
      <c r="B176" s="88"/>
      <c r="C176" s="89" t="str">
        <f t="shared" si="6"/>
        <v/>
      </c>
      <c r="D176" s="90"/>
      <c r="E176" s="91"/>
      <c r="F176" s="89" t="str">
        <f t="shared" si="7"/>
        <v/>
      </c>
      <c r="G176" s="90"/>
      <c r="H176" s="91"/>
      <c r="I176" s="89" t="str">
        <f t="shared" si="8"/>
        <v/>
      </c>
    </row>
    <row r="177" spans="1:9" s="89" customFormat="1" ht="16.5">
      <c r="A177" s="87"/>
      <c r="B177" s="88"/>
      <c r="C177" s="89" t="str">
        <f t="shared" si="6"/>
        <v/>
      </c>
      <c r="D177" s="90"/>
      <c r="E177" s="91"/>
      <c r="F177" s="89" t="str">
        <f t="shared" si="7"/>
        <v/>
      </c>
      <c r="G177" s="90"/>
      <c r="H177" s="91"/>
      <c r="I177" s="89" t="str">
        <f t="shared" si="8"/>
        <v/>
      </c>
    </row>
    <row r="178" spans="1:9" s="89" customFormat="1" ht="16.5">
      <c r="A178" s="87"/>
      <c r="B178" s="88"/>
      <c r="C178" s="89" t="str">
        <f t="shared" si="6"/>
        <v/>
      </c>
      <c r="D178" s="90"/>
      <c r="E178" s="91"/>
      <c r="F178" s="89" t="str">
        <f t="shared" si="7"/>
        <v/>
      </c>
      <c r="G178" s="90"/>
      <c r="H178" s="91"/>
      <c r="I178" s="89" t="str">
        <f t="shared" si="8"/>
        <v/>
      </c>
    </row>
    <row r="179" spans="1:9" s="89" customFormat="1" ht="16.5">
      <c r="A179" s="87"/>
      <c r="B179" s="88"/>
      <c r="C179" s="89" t="str">
        <f t="shared" si="6"/>
        <v/>
      </c>
      <c r="D179" s="90"/>
      <c r="E179" s="91"/>
      <c r="F179" s="89" t="str">
        <f t="shared" si="7"/>
        <v/>
      </c>
      <c r="G179" s="90"/>
      <c r="H179" s="91"/>
      <c r="I179" s="89" t="str">
        <f t="shared" si="8"/>
        <v/>
      </c>
    </row>
    <row r="180" spans="1:9" s="89" customFormat="1" ht="16.5">
      <c r="A180" s="87"/>
      <c r="B180" s="88"/>
      <c r="C180" s="89" t="str">
        <f t="shared" si="6"/>
        <v/>
      </c>
      <c r="D180" s="90"/>
      <c r="E180" s="91"/>
      <c r="F180" s="89" t="str">
        <f t="shared" si="7"/>
        <v/>
      </c>
      <c r="G180" s="90"/>
      <c r="H180" s="91"/>
      <c r="I180" s="89" t="str">
        <f t="shared" si="8"/>
        <v/>
      </c>
    </row>
    <row r="181" spans="1:9" s="89" customFormat="1" ht="16.5">
      <c r="A181" s="87"/>
      <c r="B181" s="88"/>
      <c r="C181" s="89" t="str">
        <f t="shared" ref="C181:C244" si="9">IF(B181&gt;0,TEXT(B181,"(aaa)"),"")</f>
        <v/>
      </c>
      <c r="D181" s="90"/>
      <c r="E181" s="91"/>
      <c r="F181" s="89" t="str">
        <f t="shared" ref="F181:F244" si="10">IF(E181&gt;0,TEXT(E181,"(aaa)"),"")</f>
        <v/>
      </c>
      <c r="G181" s="90"/>
      <c r="H181" s="91"/>
      <c r="I181" s="89" t="str">
        <f t="shared" ref="I181:I244" si="11">IF(H181&gt;0,TEXT(H181,"(aaa)"),"")</f>
        <v/>
      </c>
    </row>
    <row r="182" spans="1:9" s="89" customFormat="1" ht="16.5">
      <c r="A182" s="87"/>
      <c r="B182" s="88"/>
      <c r="C182" s="89" t="str">
        <f t="shared" si="9"/>
        <v/>
      </c>
      <c r="D182" s="90"/>
      <c r="E182" s="91"/>
      <c r="F182" s="89" t="str">
        <f t="shared" si="10"/>
        <v/>
      </c>
      <c r="G182" s="90"/>
      <c r="H182" s="91"/>
      <c r="I182" s="89" t="str">
        <f t="shared" si="11"/>
        <v/>
      </c>
    </row>
    <row r="183" spans="1:9" s="89" customFormat="1" ht="16.5">
      <c r="A183" s="87"/>
      <c r="B183" s="88"/>
      <c r="C183" s="89" t="str">
        <f t="shared" si="9"/>
        <v/>
      </c>
      <c r="D183" s="90"/>
      <c r="E183" s="91"/>
      <c r="F183" s="89" t="str">
        <f t="shared" si="10"/>
        <v/>
      </c>
      <c r="G183" s="90"/>
      <c r="H183" s="91"/>
      <c r="I183" s="89" t="str">
        <f t="shared" si="11"/>
        <v/>
      </c>
    </row>
    <row r="184" spans="1:9" s="89" customFormat="1" ht="16.5">
      <c r="A184" s="87"/>
      <c r="B184" s="88"/>
      <c r="C184" s="89" t="str">
        <f t="shared" si="9"/>
        <v/>
      </c>
      <c r="D184" s="90"/>
      <c r="E184" s="91"/>
      <c r="F184" s="89" t="str">
        <f t="shared" si="10"/>
        <v/>
      </c>
      <c r="G184" s="90"/>
      <c r="H184" s="91"/>
      <c r="I184" s="89" t="str">
        <f t="shared" si="11"/>
        <v/>
      </c>
    </row>
    <row r="185" spans="1:9" s="89" customFormat="1" ht="16.5">
      <c r="A185" s="87"/>
      <c r="B185" s="88"/>
      <c r="C185" s="89" t="str">
        <f t="shared" si="9"/>
        <v/>
      </c>
      <c r="D185" s="90"/>
      <c r="E185" s="91"/>
      <c r="F185" s="89" t="str">
        <f t="shared" si="10"/>
        <v/>
      </c>
      <c r="G185" s="90"/>
      <c r="H185" s="91"/>
      <c r="I185" s="89" t="str">
        <f t="shared" si="11"/>
        <v/>
      </c>
    </row>
    <row r="186" spans="1:9" s="89" customFormat="1" ht="16.5">
      <c r="A186" s="87"/>
      <c r="B186" s="88"/>
      <c r="C186" s="89" t="str">
        <f t="shared" si="9"/>
        <v/>
      </c>
      <c r="D186" s="90"/>
      <c r="E186" s="91"/>
      <c r="F186" s="89" t="str">
        <f t="shared" si="10"/>
        <v/>
      </c>
      <c r="G186" s="90"/>
      <c r="H186" s="91"/>
      <c r="I186" s="89" t="str">
        <f t="shared" si="11"/>
        <v/>
      </c>
    </row>
    <row r="187" spans="1:9" s="89" customFormat="1" ht="16.5">
      <c r="A187" s="87"/>
      <c r="B187" s="88"/>
      <c r="C187" s="89" t="str">
        <f t="shared" si="9"/>
        <v/>
      </c>
      <c r="D187" s="90"/>
      <c r="E187" s="91"/>
      <c r="F187" s="89" t="str">
        <f t="shared" si="10"/>
        <v/>
      </c>
      <c r="G187" s="90"/>
      <c r="H187" s="91"/>
      <c r="I187" s="89" t="str">
        <f t="shared" si="11"/>
        <v/>
      </c>
    </row>
    <row r="188" spans="1:9" s="89" customFormat="1" ht="16.5">
      <c r="A188" s="87"/>
      <c r="B188" s="88"/>
      <c r="C188" s="89" t="str">
        <f t="shared" si="9"/>
        <v/>
      </c>
      <c r="D188" s="90"/>
      <c r="E188" s="91"/>
      <c r="F188" s="89" t="str">
        <f t="shared" si="10"/>
        <v/>
      </c>
      <c r="G188" s="90"/>
      <c r="H188" s="91"/>
      <c r="I188" s="89" t="str">
        <f t="shared" si="11"/>
        <v/>
      </c>
    </row>
    <row r="189" spans="1:9" s="89" customFormat="1" ht="16.5">
      <c r="A189" s="87"/>
      <c r="B189" s="88"/>
      <c r="C189" s="89" t="str">
        <f t="shared" si="9"/>
        <v/>
      </c>
      <c r="D189" s="90"/>
      <c r="E189" s="91"/>
      <c r="F189" s="89" t="str">
        <f t="shared" si="10"/>
        <v/>
      </c>
      <c r="G189" s="90"/>
      <c r="H189" s="91"/>
      <c r="I189" s="89" t="str">
        <f t="shared" si="11"/>
        <v/>
      </c>
    </row>
    <row r="190" spans="1:9" s="89" customFormat="1" ht="16.5">
      <c r="A190" s="87"/>
      <c r="B190" s="88"/>
      <c r="C190" s="89" t="str">
        <f t="shared" si="9"/>
        <v/>
      </c>
      <c r="D190" s="90"/>
      <c r="E190" s="91"/>
      <c r="F190" s="89" t="str">
        <f t="shared" si="10"/>
        <v/>
      </c>
      <c r="G190" s="90"/>
      <c r="H190" s="91"/>
      <c r="I190" s="89" t="str">
        <f t="shared" si="11"/>
        <v/>
      </c>
    </row>
    <row r="191" spans="1:9" s="89" customFormat="1" ht="16.5">
      <c r="A191" s="87"/>
      <c r="B191" s="88"/>
      <c r="C191" s="89" t="str">
        <f t="shared" si="9"/>
        <v/>
      </c>
      <c r="D191" s="90"/>
      <c r="E191" s="91"/>
      <c r="F191" s="89" t="str">
        <f t="shared" si="10"/>
        <v/>
      </c>
      <c r="G191" s="90"/>
      <c r="H191" s="91"/>
      <c r="I191" s="89" t="str">
        <f t="shared" si="11"/>
        <v/>
      </c>
    </row>
    <row r="192" spans="1:9" s="89" customFormat="1" ht="16.5">
      <c r="A192" s="87"/>
      <c r="B192" s="88"/>
      <c r="C192" s="89" t="str">
        <f t="shared" si="9"/>
        <v/>
      </c>
      <c r="D192" s="90"/>
      <c r="E192" s="91"/>
      <c r="F192" s="89" t="str">
        <f t="shared" si="10"/>
        <v/>
      </c>
      <c r="G192" s="90"/>
      <c r="H192" s="91"/>
      <c r="I192" s="89" t="str">
        <f t="shared" si="11"/>
        <v/>
      </c>
    </row>
    <row r="193" spans="1:9" s="89" customFormat="1" ht="16.5">
      <c r="A193" s="87"/>
      <c r="B193" s="88"/>
      <c r="C193" s="89" t="str">
        <f t="shared" si="9"/>
        <v/>
      </c>
      <c r="D193" s="90"/>
      <c r="E193" s="91"/>
      <c r="F193" s="89" t="str">
        <f t="shared" si="10"/>
        <v/>
      </c>
      <c r="G193" s="90"/>
      <c r="H193" s="91"/>
      <c r="I193" s="89" t="str">
        <f t="shared" si="11"/>
        <v/>
      </c>
    </row>
    <row r="194" spans="1:9" s="89" customFormat="1" ht="16.5">
      <c r="A194" s="87"/>
      <c r="B194" s="88"/>
      <c r="C194" s="89" t="str">
        <f t="shared" si="9"/>
        <v/>
      </c>
      <c r="D194" s="90"/>
      <c r="E194" s="91"/>
      <c r="F194" s="89" t="str">
        <f t="shared" si="10"/>
        <v/>
      </c>
      <c r="G194" s="90"/>
      <c r="H194" s="91"/>
      <c r="I194" s="89" t="str">
        <f t="shared" si="11"/>
        <v/>
      </c>
    </row>
    <row r="195" spans="1:9" s="89" customFormat="1" ht="16.5">
      <c r="A195" s="87"/>
      <c r="B195" s="88"/>
      <c r="C195" s="89" t="str">
        <f t="shared" si="9"/>
        <v/>
      </c>
      <c r="D195" s="90"/>
      <c r="E195" s="91"/>
      <c r="F195" s="89" t="str">
        <f t="shared" si="10"/>
        <v/>
      </c>
      <c r="G195" s="90"/>
      <c r="H195" s="91"/>
      <c r="I195" s="89" t="str">
        <f t="shared" si="11"/>
        <v/>
      </c>
    </row>
    <row r="196" spans="1:9" s="89" customFormat="1" ht="16.5">
      <c r="A196" s="87"/>
      <c r="B196" s="88"/>
      <c r="C196" s="89" t="str">
        <f t="shared" si="9"/>
        <v/>
      </c>
      <c r="D196" s="90"/>
      <c r="E196" s="91"/>
      <c r="F196" s="89" t="str">
        <f t="shared" si="10"/>
        <v/>
      </c>
      <c r="G196" s="90"/>
      <c r="H196" s="91"/>
      <c r="I196" s="89" t="str">
        <f t="shared" si="11"/>
        <v/>
      </c>
    </row>
    <row r="197" spans="1:9" s="89" customFormat="1" ht="16.5">
      <c r="A197" s="87"/>
      <c r="B197" s="88"/>
      <c r="C197" s="89" t="str">
        <f t="shared" si="9"/>
        <v/>
      </c>
      <c r="D197" s="90"/>
      <c r="E197" s="91"/>
      <c r="F197" s="89" t="str">
        <f t="shared" si="10"/>
        <v/>
      </c>
      <c r="G197" s="90"/>
      <c r="H197" s="91"/>
      <c r="I197" s="89" t="str">
        <f t="shared" si="11"/>
        <v/>
      </c>
    </row>
    <row r="198" spans="1:9" s="89" customFormat="1" ht="16.5">
      <c r="A198" s="87"/>
      <c r="B198" s="88"/>
      <c r="C198" s="89" t="str">
        <f t="shared" si="9"/>
        <v/>
      </c>
      <c r="D198" s="90"/>
      <c r="E198" s="91"/>
      <c r="F198" s="89" t="str">
        <f t="shared" si="10"/>
        <v/>
      </c>
      <c r="G198" s="90"/>
      <c r="H198" s="91"/>
      <c r="I198" s="89" t="str">
        <f t="shared" si="11"/>
        <v/>
      </c>
    </row>
    <row r="199" spans="1:9" s="89" customFormat="1" ht="16.5">
      <c r="A199" s="87"/>
      <c r="B199" s="88"/>
      <c r="C199" s="89" t="str">
        <f t="shared" si="9"/>
        <v/>
      </c>
      <c r="D199" s="90"/>
      <c r="E199" s="91"/>
      <c r="F199" s="89" t="str">
        <f t="shared" si="10"/>
        <v/>
      </c>
      <c r="G199" s="90"/>
      <c r="H199" s="91"/>
      <c r="I199" s="89" t="str">
        <f t="shared" si="11"/>
        <v/>
      </c>
    </row>
    <row r="200" spans="1:9" s="89" customFormat="1" ht="16.5">
      <c r="A200" s="87"/>
      <c r="B200" s="88"/>
      <c r="C200" s="89" t="str">
        <f t="shared" si="9"/>
        <v/>
      </c>
      <c r="D200" s="90"/>
      <c r="E200" s="91"/>
      <c r="F200" s="89" t="str">
        <f t="shared" si="10"/>
        <v/>
      </c>
      <c r="G200" s="90"/>
      <c r="H200" s="91"/>
      <c r="I200" s="89" t="str">
        <f t="shared" si="11"/>
        <v/>
      </c>
    </row>
    <row r="201" spans="1:9" s="89" customFormat="1" ht="16.5">
      <c r="A201" s="87"/>
      <c r="B201" s="88"/>
      <c r="C201" s="89" t="str">
        <f t="shared" si="9"/>
        <v/>
      </c>
      <c r="D201" s="90"/>
      <c r="E201" s="91"/>
      <c r="F201" s="89" t="str">
        <f t="shared" si="10"/>
        <v/>
      </c>
      <c r="G201" s="90"/>
      <c r="H201" s="91"/>
      <c r="I201" s="89" t="str">
        <f t="shared" si="11"/>
        <v/>
      </c>
    </row>
    <row r="202" spans="1:9" s="89" customFormat="1" ht="16.5">
      <c r="A202" s="87"/>
      <c r="B202" s="88"/>
      <c r="C202" s="89" t="str">
        <f t="shared" si="9"/>
        <v/>
      </c>
      <c r="D202" s="90"/>
      <c r="E202" s="91"/>
      <c r="F202" s="89" t="str">
        <f t="shared" si="10"/>
        <v/>
      </c>
      <c r="G202" s="90"/>
      <c r="H202" s="91"/>
      <c r="I202" s="89" t="str">
        <f t="shared" si="11"/>
        <v/>
      </c>
    </row>
    <row r="203" spans="1:9" s="89" customFormat="1" ht="16.5">
      <c r="A203" s="87"/>
      <c r="B203" s="88"/>
      <c r="C203" s="89" t="str">
        <f t="shared" si="9"/>
        <v/>
      </c>
      <c r="D203" s="90"/>
      <c r="E203" s="91"/>
      <c r="F203" s="89" t="str">
        <f t="shared" si="10"/>
        <v/>
      </c>
      <c r="G203" s="90"/>
      <c r="H203" s="91"/>
      <c r="I203" s="89" t="str">
        <f t="shared" si="11"/>
        <v/>
      </c>
    </row>
    <row r="204" spans="1:9" s="89" customFormat="1" ht="16.5">
      <c r="A204" s="87"/>
      <c r="B204" s="88"/>
      <c r="C204" s="89" t="str">
        <f t="shared" si="9"/>
        <v/>
      </c>
      <c r="D204" s="90"/>
      <c r="E204" s="91"/>
      <c r="F204" s="89" t="str">
        <f t="shared" si="10"/>
        <v/>
      </c>
      <c r="G204" s="90"/>
      <c r="H204" s="91"/>
      <c r="I204" s="89" t="str">
        <f t="shared" si="11"/>
        <v/>
      </c>
    </row>
    <row r="205" spans="1:9" s="89" customFormat="1" ht="16.5">
      <c r="A205" s="87"/>
      <c r="B205" s="88"/>
      <c r="C205" s="89" t="str">
        <f t="shared" si="9"/>
        <v/>
      </c>
      <c r="D205" s="90"/>
      <c r="E205" s="91"/>
      <c r="F205" s="89" t="str">
        <f t="shared" si="10"/>
        <v/>
      </c>
      <c r="G205" s="90"/>
      <c r="H205" s="91"/>
      <c r="I205" s="89" t="str">
        <f t="shared" si="11"/>
        <v/>
      </c>
    </row>
    <row r="206" spans="1:9" s="89" customFormat="1" ht="16.5">
      <c r="A206" s="87"/>
      <c r="B206" s="88"/>
      <c r="C206" s="89" t="str">
        <f t="shared" si="9"/>
        <v/>
      </c>
      <c r="D206" s="90"/>
      <c r="E206" s="91"/>
      <c r="F206" s="89" t="str">
        <f t="shared" si="10"/>
        <v/>
      </c>
      <c r="G206" s="90"/>
      <c r="H206" s="91"/>
      <c r="I206" s="89" t="str">
        <f t="shared" si="11"/>
        <v/>
      </c>
    </row>
    <row r="207" spans="1:9" s="89" customFormat="1" ht="16.5">
      <c r="A207" s="87"/>
      <c r="B207" s="88"/>
      <c r="C207" s="89" t="str">
        <f t="shared" si="9"/>
        <v/>
      </c>
      <c r="D207" s="90"/>
      <c r="E207" s="91"/>
      <c r="F207" s="89" t="str">
        <f t="shared" si="10"/>
        <v/>
      </c>
      <c r="G207" s="90"/>
      <c r="H207" s="91"/>
      <c r="I207" s="89" t="str">
        <f t="shared" si="11"/>
        <v/>
      </c>
    </row>
    <row r="208" spans="1:9" s="89" customFormat="1" ht="16.5">
      <c r="A208" s="87"/>
      <c r="B208" s="88"/>
      <c r="C208" s="89" t="str">
        <f t="shared" si="9"/>
        <v/>
      </c>
      <c r="D208" s="90"/>
      <c r="E208" s="91"/>
      <c r="F208" s="89" t="str">
        <f t="shared" si="10"/>
        <v/>
      </c>
      <c r="G208" s="90"/>
      <c r="H208" s="91"/>
      <c r="I208" s="89" t="str">
        <f t="shared" si="11"/>
        <v/>
      </c>
    </row>
    <row r="209" spans="1:9" s="89" customFormat="1" ht="16.5">
      <c r="A209" s="87"/>
      <c r="B209" s="88"/>
      <c r="C209" s="89" t="str">
        <f t="shared" si="9"/>
        <v/>
      </c>
      <c r="D209" s="90"/>
      <c r="E209" s="91"/>
      <c r="F209" s="89" t="str">
        <f t="shared" si="10"/>
        <v/>
      </c>
      <c r="G209" s="90"/>
      <c r="H209" s="91"/>
      <c r="I209" s="89" t="str">
        <f t="shared" si="11"/>
        <v/>
      </c>
    </row>
    <row r="210" spans="1:9" s="89" customFormat="1" ht="16.5">
      <c r="A210" s="87"/>
      <c r="B210" s="88"/>
      <c r="C210" s="89" t="str">
        <f t="shared" si="9"/>
        <v/>
      </c>
      <c r="D210" s="90"/>
      <c r="E210" s="91"/>
      <c r="F210" s="89" t="str">
        <f t="shared" si="10"/>
        <v/>
      </c>
      <c r="G210" s="90"/>
      <c r="H210" s="91"/>
      <c r="I210" s="89" t="str">
        <f t="shared" si="11"/>
        <v/>
      </c>
    </row>
    <row r="211" spans="1:9" s="89" customFormat="1" ht="16.5">
      <c r="A211" s="87"/>
      <c r="B211" s="88"/>
      <c r="C211" s="89" t="str">
        <f t="shared" si="9"/>
        <v/>
      </c>
      <c r="D211" s="90"/>
      <c r="E211" s="91"/>
      <c r="F211" s="89" t="str">
        <f t="shared" si="10"/>
        <v/>
      </c>
      <c r="G211" s="90"/>
      <c r="H211" s="91"/>
      <c r="I211" s="89" t="str">
        <f t="shared" si="11"/>
        <v/>
      </c>
    </row>
    <row r="212" spans="1:9" s="89" customFormat="1" ht="16.5">
      <c r="A212" s="87"/>
      <c r="B212" s="88"/>
      <c r="C212" s="89" t="str">
        <f t="shared" si="9"/>
        <v/>
      </c>
      <c r="D212" s="90"/>
      <c r="E212" s="91"/>
      <c r="F212" s="89" t="str">
        <f t="shared" si="10"/>
        <v/>
      </c>
      <c r="G212" s="90"/>
      <c r="H212" s="91"/>
      <c r="I212" s="89" t="str">
        <f t="shared" si="11"/>
        <v/>
      </c>
    </row>
    <row r="213" spans="1:9" s="89" customFormat="1" ht="16.5">
      <c r="A213" s="87"/>
      <c r="B213" s="88"/>
      <c r="C213" s="89" t="str">
        <f t="shared" si="9"/>
        <v/>
      </c>
      <c r="D213" s="90"/>
      <c r="E213" s="91"/>
      <c r="F213" s="89" t="str">
        <f t="shared" si="10"/>
        <v/>
      </c>
      <c r="G213" s="90"/>
      <c r="H213" s="91"/>
      <c r="I213" s="89" t="str">
        <f t="shared" si="11"/>
        <v/>
      </c>
    </row>
    <row r="214" spans="1:9" s="89" customFormat="1" ht="16.5">
      <c r="A214" s="87"/>
      <c r="B214" s="88"/>
      <c r="C214" s="89" t="str">
        <f t="shared" si="9"/>
        <v/>
      </c>
      <c r="D214" s="90"/>
      <c r="E214" s="91"/>
      <c r="F214" s="89" t="str">
        <f t="shared" si="10"/>
        <v/>
      </c>
      <c r="G214" s="90"/>
      <c r="H214" s="91"/>
      <c r="I214" s="89" t="str">
        <f t="shared" si="11"/>
        <v/>
      </c>
    </row>
    <row r="215" spans="1:9" s="89" customFormat="1" ht="16.5">
      <c r="A215" s="87"/>
      <c r="B215" s="88"/>
      <c r="C215" s="89" t="str">
        <f t="shared" si="9"/>
        <v/>
      </c>
      <c r="D215" s="90"/>
      <c r="E215" s="91"/>
      <c r="F215" s="89" t="str">
        <f t="shared" si="10"/>
        <v/>
      </c>
      <c r="G215" s="90"/>
      <c r="H215" s="91"/>
      <c r="I215" s="89" t="str">
        <f t="shared" si="11"/>
        <v/>
      </c>
    </row>
    <row r="216" spans="1:9" s="89" customFormat="1" ht="16.5">
      <c r="A216" s="87"/>
      <c r="B216" s="88"/>
      <c r="C216" s="89" t="str">
        <f t="shared" si="9"/>
        <v/>
      </c>
      <c r="D216" s="90"/>
      <c r="E216" s="91"/>
      <c r="F216" s="89" t="str">
        <f t="shared" si="10"/>
        <v/>
      </c>
      <c r="G216" s="90"/>
      <c r="H216" s="91"/>
      <c r="I216" s="89" t="str">
        <f t="shared" si="11"/>
        <v/>
      </c>
    </row>
    <row r="217" spans="1:9" s="89" customFormat="1" ht="16.5">
      <c r="A217" s="87"/>
      <c r="B217" s="88"/>
      <c r="C217" s="89" t="str">
        <f t="shared" si="9"/>
        <v/>
      </c>
      <c r="D217" s="90"/>
      <c r="E217" s="91"/>
      <c r="F217" s="89" t="str">
        <f t="shared" si="10"/>
        <v/>
      </c>
      <c r="G217" s="90"/>
      <c r="H217" s="91"/>
      <c r="I217" s="89" t="str">
        <f t="shared" si="11"/>
        <v/>
      </c>
    </row>
    <row r="218" spans="1:9" s="89" customFormat="1" ht="16.5">
      <c r="A218" s="87"/>
      <c r="B218" s="88"/>
      <c r="C218" s="89" t="str">
        <f t="shared" si="9"/>
        <v/>
      </c>
      <c r="D218" s="90"/>
      <c r="E218" s="91"/>
      <c r="F218" s="89" t="str">
        <f t="shared" si="10"/>
        <v/>
      </c>
      <c r="G218" s="90"/>
      <c r="H218" s="91"/>
      <c r="I218" s="89" t="str">
        <f t="shared" si="11"/>
        <v/>
      </c>
    </row>
    <row r="219" spans="1:9" s="89" customFormat="1" ht="16.5">
      <c r="A219" s="87"/>
      <c r="B219" s="88"/>
      <c r="C219" s="89" t="str">
        <f t="shared" si="9"/>
        <v/>
      </c>
      <c r="D219" s="90"/>
      <c r="E219" s="91"/>
      <c r="F219" s="89" t="str">
        <f t="shared" si="10"/>
        <v/>
      </c>
      <c r="G219" s="90"/>
      <c r="H219" s="91"/>
      <c r="I219" s="89" t="str">
        <f t="shared" si="11"/>
        <v/>
      </c>
    </row>
    <row r="220" spans="1:9" s="89" customFormat="1" ht="16.5">
      <c r="A220" s="87"/>
      <c r="B220" s="88"/>
      <c r="C220" s="89" t="str">
        <f t="shared" si="9"/>
        <v/>
      </c>
      <c r="D220" s="90"/>
      <c r="E220" s="91"/>
      <c r="F220" s="89" t="str">
        <f t="shared" si="10"/>
        <v/>
      </c>
      <c r="G220" s="90"/>
      <c r="H220" s="91"/>
      <c r="I220" s="89" t="str">
        <f t="shared" si="11"/>
        <v/>
      </c>
    </row>
    <row r="221" spans="1:9" s="89" customFormat="1" ht="16.5">
      <c r="A221" s="87"/>
      <c r="B221" s="88"/>
      <c r="C221" s="89" t="str">
        <f t="shared" si="9"/>
        <v/>
      </c>
      <c r="D221" s="90"/>
      <c r="E221" s="91"/>
      <c r="F221" s="89" t="str">
        <f t="shared" si="10"/>
        <v/>
      </c>
      <c r="G221" s="90"/>
      <c r="H221" s="91"/>
      <c r="I221" s="89" t="str">
        <f t="shared" si="11"/>
        <v/>
      </c>
    </row>
    <row r="222" spans="1:9" s="89" customFormat="1" ht="16.5">
      <c r="A222" s="87"/>
      <c r="B222" s="88"/>
      <c r="C222" s="89" t="str">
        <f t="shared" si="9"/>
        <v/>
      </c>
      <c r="D222" s="90"/>
      <c r="E222" s="91"/>
      <c r="F222" s="89" t="str">
        <f t="shared" si="10"/>
        <v/>
      </c>
      <c r="G222" s="90"/>
      <c r="H222" s="91"/>
      <c r="I222" s="89" t="str">
        <f t="shared" si="11"/>
        <v/>
      </c>
    </row>
    <row r="223" spans="1:9" s="89" customFormat="1" ht="16.5">
      <c r="A223" s="87"/>
      <c r="B223" s="88"/>
      <c r="C223" s="89" t="str">
        <f t="shared" si="9"/>
        <v/>
      </c>
      <c r="D223" s="90"/>
      <c r="E223" s="91"/>
      <c r="F223" s="89" t="str">
        <f t="shared" si="10"/>
        <v/>
      </c>
      <c r="G223" s="90"/>
      <c r="H223" s="91"/>
      <c r="I223" s="89" t="str">
        <f t="shared" si="11"/>
        <v/>
      </c>
    </row>
    <row r="224" spans="1:9" s="89" customFormat="1" ht="16.5">
      <c r="A224" s="87"/>
      <c r="B224" s="88"/>
      <c r="C224" s="89" t="str">
        <f t="shared" si="9"/>
        <v/>
      </c>
      <c r="D224" s="90"/>
      <c r="E224" s="91"/>
      <c r="F224" s="89" t="str">
        <f t="shared" si="10"/>
        <v/>
      </c>
      <c r="G224" s="90"/>
      <c r="H224" s="91"/>
      <c r="I224" s="89" t="str">
        <f t="shared" si="11"/>
        <v/>
      </c>
    </row>
    <row r="225" spans="1:9" s="89" customFormat="1" ht="16.5">
      <c r="A225" s="87"/>
      <c r="B225" s="88"/>
      <c r="C225" s="89" t="str">
        <f t="shared" si="9"/>
        <v/>
      </c>
      <c r="D225" s="90"/>
      <c r="E225" s="91"/>
      <c r="F225" s="89" t="str">
        <f t="shared" si="10"/>
        <v/>
      </c>
      <c r="G225" s="90"/>
      <c r="H225" s="91"/>
      <c r="I225" s="89" t="str">
        <f t="shared" si="11"/>
        <v/>
      </c>
    </row>
    <row r="226" spans="1:9" s="89" customFormat="1" ht="16.5">
      <c r="A226" s="90"/>
      <c r="B226" s="91"/>
      <c r="C226" s="89" t="str">
        <f t="shared" si="9"/>
        <v/>
      </c>
      <c r="D226" s="90"/>
      <c r="E226" s="91"/>
      <c r="F226" s="89" t="str">
        <f t="shared" si="10"/>
        <v/>
      </c>
      <c r="G226" s="90"/>
      <c r="H226" s="91"/>
      <c r="I226" s="89" t="str">
        <f t="shared" si="11"/>
        <v/>
      </c>
    </row>
    <row r="227" spans="1:9" s="89" customFormat="1" ht="16.5">
      <c r="A227" s="90"/>
      <c r="B227" s="91"/>
      <c r="C227" s="89" t="str">
        <f t="shared" si="9"/>
        <v/>
      </c>
      <c r="D227" s="90"/>
      <c r="E227" s="91"/>
      <c r="F227" s="89" t="str">
        <f t="shared" si="10"/>
        <v/>
      </c>
      <c r="G227" s="90"/>
      <c r="H227" s="91"/>
      <c r="I227" s="89" t="str">
        <f t="shared" si="11"/>
        <v/>
      </c>
    </row>
    <row r="228" spans="1:9" s="89" customFormat="1" ht="16.5">
      <c r="A228" s="90"/>
      <c r="B228" s="91"/>
      <c r="C228" s="89" t="str">
        <f t="shared" si="9"/>
        <v/>
      </c>
      <c r="D228" s="90"/>
      <c r="E228" s="91"/>
      <c r="F228" s="89" t="str">
        <f t="shared" si="10"/>
        <v/>
      </c>
      <c r="G228" s="90"/>
      <c r="H228" s="91"/>
      <c r="I228" s="89" t="str">
        <f t="shared" si="11"/>
        <v/>
      </c>
    </row>
    <row r="229" spans="1:9" s="89" customFormat="1" ht="16.5">
      <c r="A229" s="90"/>
      <c r="B229" s="91"/>
      <c r="C229" s="89" t="str">
        <f t="shared" si="9"/>
        <v/>
      </c>
      <c r="D229" s="90"/>
      <c r="E229" s="91"/>
      <c r="F229" s="89" t="str">
        <f t="shared" si="10"/>
        <v/>
      </c>
      <c r="G229" s="90"/>
      <c r="H229" s="91"/>
      <c r="I229" s="89" t="str">
        <f t="shared" si="11"/>
        <v/>
      </c>
    </row>
    <row r="230" spans="1:9" s="89" customFormat="1" ht="16.5">
      <c r="A230" s="90"/>
      <c r="B230" s="91"/>
      <c r="C230" s="89" t="str">
        <f t="shared" si="9"/>
        <v/>
      </c>
      <c r="D230" s="90"/>
      <c r="E230" s="91"/>
      <c r="F230" s="89" t="str">
        <f t="shared" si="10"/>
        <v/>
      </c>
      <c r="G230" s="90"/>
      <c r="H230" s="91"/>
      <c r="I230" s="89" t="str">
        <f t="shared" si="11"/>
        <v/>
      </c>
    </row>
    <row r="231" spans="1:9" s="89" customFormat="1" ht="16.5">
      <c r="A231" s="90"/>
      <c r="B231" s="91"/>
      <c r="C231" s="89" t="str">
        <f t="shared" si="9"/>
        <v/>
      </c>
      <c r="D231" s="90"/>
      <c r="E231" s="91"/>
      <c r="F231" s="89" t="str">
        <f t="shared" si="10"/>
        <v/>
      </c>
      <c r="G231" s="90"/>
      <c r="H231" s="91"/>
      <c r="I231" s="89" t="str">
        <f t="shared" si="11"/>
        <v/>
      </c>
    </row>
    <row r="232" spans="1:9" s="89" customFormat="1" ht="16.5">
      <c r="A232" s="90"/>
      <c r="B232" s="91"/>
      <c r="C232" s="89" t="str">
        <f t="shared" si="9"/>
        <v/>
      </c>
      <c r="D232" s="90"/>
      <c r="E232" s="91"/>
      <c r="F232" s="89" t="str">
        <f t="shared" si="10"/>
        <v/>
      </c>
      <c r="G232" s="90"/>
      <c r="H232" s="91"/>
      <c r="I232" s="89" t="str">
        <f t="shared" si="11"/>
        <v/>
      </c>
    </row>
    <row r="233" spans="1:9" s="89" customFormat="1" ht="16.5">
      <c r="A233" s="90"/>
      <c r="B233" s="91"/>
      <c r="C233" s="89" t="str">
        <f t="shared" si="9"/>
        <v/>
      </c>
      <c r="D233" s="90"/>
      <c r="E233" s="91"/>
      <c r="F233" s="89" t="str">
        <f t="shared" si="10"/>
        <v/>
      </c>
      <c r="G233" s="90"/>
      <c r="H233" s="91"/>
      <c r="I233" s="89" t="str">
        <f t="shared" si="11"/>
        <v/>
      </c>
    </row>
    <row r="234" spans="1:9" s="89" customFormat="1" ht="16.5">
      <c r="A234" s="90"/>
      <c r="B234" s="91"/>
      <c r="C234" s="89" t="str">
        <f t="shared" si="9"/>
        <v/>
      </c>
      <c r="D234" s="90"/>
      <c r="E234" s="91"/>
      <c r="F234" s="89" t="str">
        <f t="shared" si="10"/>
        <v/>
      </c>
      <c r="G234" s="90"/>
      <c r="H234" s="91"/>
      <c r="I234" s="89" t="str">
        <f t="shared" si="11"/>
        <v/>
      </c>
    </row>
    <row r="235" spans="1:9" s="89" customFormat="1" ht="16.5">
      <c r="A235" s="90"/>
      <c r="B235" s="91"/>
      <c r="C235" s="89" t="str">
        <f t="shared" si="9"/>
        <v/>
      </c>
      <c r="D235" s="90"/>
      <c r="E235" s="91"/>
      <c r="F235" s="89" t="str">
        <f t="shared" si="10"/>
        <v/>
      </c>
      <c r="G235" s="90"/>
      <c r="H235" s="91"/>
      <c r="I235" s="89" t="str">
        <f t="shared" si="11"/>
        <v/>
      </c>
    </row>
    <row r="236" spans="1:9" s="89" customFormat="1" ht="16.5">
      <c r="A236" s="90"/>
      <c r="B236" s="91"/>
      <c r="C236" s="89" t="str">
        <f t="shared" si="9"/>
        <v/>
      </c>
      <c r="D236" s="90"/>
      <c r="E236" s="91"/>
      <c r="F236" s="89" t="str">
        <f t="shared" si="10"/>
        <v/>
      </c>
      <c r="G236" s="90"/>
      <c r="H236" s="91"/>
      <c r="I236" s="89" t="str">
        <f t="shared" si="11"/>
        <v/>
      </c>
    </row>
    <row r="237" spans="1:9" s="89" customFormat="1" ht="16.5">
      <c r="A237" s="90"/>
      <c r="B237" s="91"/>
      <c r="C237" s="89" t="str">
        <f t="shared" si="9"/>
        <v/>
      </c>
      <c r="D237" s="90"/>
      <c r="E237" s="91"/>
      <c r="F237" s="89" t="str">
        <f t="shared" si="10"/>
        <v/>
      </c>
      <c r="G237" s="90"/>
      <c r="H237" s="91"/>
      <c r="I237" s="89" t="str">
        <f t="shared" si="11"/>
        <v/>
      </c>
    </row>
    <row r="238" spans="1:9" s="89" customFormat="1" ht="16.5">
      <c r="A238" s="90"/>
      <c r="B238" s="91"/>
      <c r="C238" s="89" t="str">
        <f t="shared" si="9"/>
        <v/>
      </c>
      <c r="D238" s="90"/>
      <c r="E238" s="91"/>
      <c r="F238" s="89" t="str">
        <f t="shared" si="10"/>
        <v/>
      </c>
      <c r="G238" s="90"/>
      <c r="H238" s="91"/>
      <c r="I238" s="89" t="str">
        <f t="shared" si="11"/>
        <v/>
      </c>
    </row>
    <row r="239" spans="1:9" s="89" customFormat="1" ht="16.5">
      <c r="A239" s="90"/>
      <c r="B239" s="91"/>
      <c r="C239" s="89" t="str">
        <f t="shared" si="9"/>
        <v/>
      </c>
      <c r="D239" s="90"/>
      <c r="E239" s="91"/>
      <c r="F239" s="89" t="str">
        <f t="shared" si="10"/>
        <v/>
      </c>
      <c r="G239" s="90"/>
      <c r="H239" s="91"/>
      <c r="I239" s="89" t="str">
        <f t="shared" si="11"/>
        <v/>
      </c>
    </row>
    <row r="240" spans="1:9" s="89" customFormat="1" ht="16.5">
      <c r="A240" s="90"/>
      <c r="B240" s="91"/>
      <c r="C240" s="89" t="str">
        <f t="shared" si="9"/>
        <v/>
      </c>
      <c r="D240" s="90"/>
      <c r="E240" s="91"/>
      <c r="F240" s="89" t="str">
        <f t="shared" si="10"/>
        <v/>
      </c>
      <c r="G240" s="90"/>
      <c r="H240" s="91"/>
      <c r="I240" s="89" t="str">
        <f t="shared" si="11"/>
        <v/>
      </c>
    </row>
    <row r="241" spans="1:9" s="89" customFormat="1" ht="16.5">
      <c r="A241" s="90"/>
      <c r="B241" s="91"/>
      <c r="C241" s="89" t="str">
        <f t="shared" si="9"/>
        <v/>
      </c>
      <c r="D241" s="90"/>
      <c r="E241" s="91"/>
      <c r="F241" s="89" t="str">
        <f t="shared" si="10"/>
        <v/>
      </c>
      <c r="G241" s="90"/>
      <c r="H241" s="91"/>
      <c r="I241" s="89" t="str">
        <f t="shared" si="11"/>
        <v/>
      </c>
    </row>
    <row r="242" spans="1:9" s="89" customFormat="1" ht="16.5">
      <c r="A242" s="90"/>
      <c r="B242" s="91"/>
      <c r="C242" s="89" t="str">
        <f t="shared" si="9"/>
        <v/>
      </c>
      <c r="D242" s="90"/>
      <c r="E242" s="91"/>
      <c r="F242" s="89" t="str">
        <f t="shared" si="10"/>
        <v/>
      </c>
      <c r="G242" s="90"/>
      <c r="H242" s="91"/>
      <c r="I242" s="89" t="str">
        <f t="shared" si="11"/>
        <v/>
      </c>
    </row>
    <row r="243" spans="1:9" s="89" customFormat="1" ht="16.5">
      <c r="A243" s="90"/>
      <c r="B243" s="91"/>
      <c r="C243" s="89" t="str">
        <f t="shared" si="9"/>
        <v/>
      </c>
      <c r="D243" s="90"/>
      <c r="E243" s="91"/>
      <c r="F243" s="89" t="str">
        <f t="shared" si="10"/>
        <v/>
      </c>
      <c r="G243" s="90"/>
      <c r="H243" s="91"/>
      <c r="I243" s="89" t="str">
        <f t="shared" si="11"/>
        <v/>
      </c>
    </row>
    <row r="244" spans="1:9" s="89" customFormat="1" ht="16.5">
      <c r="A244" s="90"/>
      <c r="B244" s="91"/>
      <c r="C244" s="89" t="str">
        <f t="shared" si="9"/>
        <v/>
      </c>
      <c r="D244" s="90"/>
      <c r="E244" s="91"/>
      <c r="F244" s="89" t="str">
        <f t="shared" si="10"/>
        <v/>
      </c>
      <c r="G244" s="90"/>
      <c r="H244" s="91"/>
      <c r="I244" s="89" t="str">
        <f t="shared" si="11"/>
        <v/>
      </c>
    </row>
    <row r="245" spans="1:9" s="89" customFormat="1" ht="16.5">
      <c r="A245" s="90"/>
      <c r="B245" s="91"/>
      <c r="C245" s="89" t="str">
        <f t="shared" ref="C245:C288" si="12">IF(B245&gt;0,TEXT(B245,"(aaa)"),"")</f>
        <v/>
      </c>
      <c r="D245" s="90"/>
      <c r="E245" s="91"/>
      <c r="F245" s="89" t="str">
        <f t="shared" ref="F245:F288" si="13">IF(E245&gt;0,TEXT(E245,"(aaa)"),"")</f>
        <v/>
      </c>
      <c r="G245" s="90"/>
      <c r="H245" s="91"/>
      <c r="I245" s="89" t="str">
        <f t="shared" ref="I245:I288" si="14">IF(H245&gt;0,TEXT(H245,"(aaa)"),"")</f>
        <v/>
      </c>
    </row>
    <row r="246" spans="1:9" s="89" customFormat="1" ht="16.5">
      <c r="A246" s="90"/>
      <c r="B246" s="91"/>
      <c r="C246" s="89" t="str">
        <f t="shared" si="12"/>
        <v/>
      </c>
      <c r="D246" s="90"/>
      <c r="E246" s="91"/>
      <c r="F246" s="89" t="str">
        <f t="shared" si="13"/>
        <v/>
      </c>
      <c r="G246" s="90"/>
      <c r="H246" s="91"/>
      <c r="I246" s="89" t="str">
        <f t="shared" si="14"/>
        <v/>
      </c>
    </row>
    <row r="247" spans="1:9" s="89" customFormat="1" ht="16.5">
      <c r="A247" s="90"/>
      <c r="B247" s="91"/>
      <c r="C247" s="89" t="str">
        <f t="shared" si="12"/>
        <v/>
      </c>
      <c r="D247" s="90"/>
      <c r="E247" s="91"/>
      <c r="F247" s="89" t="str">
        <f t="shared" si="13"/>
        <v/>
      </c>
      <c r="G247" s="90"/>
      <c r="H247" s="91"/>
      <c r="I247" s="89" t="str">
        <f t="shared" si="14"/>
        <v/>
      </c>
    </row>
    <row r="248" spans="1:9" s="89" customFormat="1" ht="16.5">
      <c r="A248" s="90"/>
      <c r="B248" s="91"/>
      <c r="C248" s="89" t="str">
        <f t="shared" si="12"/>
        <v/>
      </c>
      <c r="D248" s="90"/>
      <c r="E248" s="91"/>
      <c r="F248" s="89" t="str">
        <f t="shared" si="13"/>
        <v/>
      </c>
      <c r="G248" s="90"/>
      <c r="H248" s="91"/>
      <c r="I248" s="89" t="str">
        <f t="shared" si="14"/>
        <v/>
      </c>
    </row>
    <row r="249" spans="1:9" s="89" customFormat="1" ht="16.5">
      <c r="A249" s="90"/>
      <c r="B249" s="91"/>
      <c r="C249" s="89" t="str">
        <f t="shared" si="12"/>
        <v/>
      </c>
      <c r="D249" s="90"/>
      <c r="E249" s="91"/>
      <c r="F249" s="89" t="str">
        <f t="shared" si="13"/>
        <v/>
      </c>
      <c r="G249" s="90"/>
      <c r="H249" s="91"/>
      <c r="I249" s="89" t="str">
        <f t="shared" si="14"/>
        <v/>
      </c>
    </row>
    <row r="250" spans="1:9" s="89" customFormat="1" ht="16.5">
      <c r="A250" s="90"/>
      <c r="B250" s="91"/>
      <c r="C250" s="89" t="str">
        <f t="shared" si="12"/>
        <v/>
      </c>
      <c r="D250" s="90"/>
      <c r="E250" s="91"/>
      <c r="F250" s="89" t="str">
        <f t="shared" si="13"/>
        <v/>
      </c>
      <c r="G250" s="90"/>
      <c r="H250" s="91"/>
      <c r="I250" s="89" t="str">
        <f t="shared" si="14"/>
        <v/>
      </c>
    </row>
    <row r="251" spans="1:9" s="89" customFormat="1" ht="16.5">
      <c r="A251" s="90"/>
      <c r="B251" s="91"/>
      <c r="C251" s="89" t="str">
        <f t="shared" si="12"/>
        <v/>
      </c>
      <c r="D251" s="90"/>
      <c r="E251" s="91"/>
      <c r="F251" s="89" t="str">
        <f t="shared" si="13"/>
        <v/>
      </c>
      <c r="G251" s="90"/>
      <c r="H251" s="91"/>
      <c r="I251" s="89" t="str">
        <f t="shared" si="14"/>
        <v/>
      </c>
    </row>
    <row r="252" spans="1:9" s="89" customFormat="1" ht="16.5">
      <c r="A252" s="90"/>
      <c r="B252" s="91"/>
      <c r="C252" s="89" t="str">
        <f t="shared" si="12"/>
        <v/>
      </c>
      <c r="D252" s="90"/>
      <c r="E252" s="91"/>
      <c r="F252" s="89" t="str">
        <f t="shared" si="13"/>
        <v/>
      </c>
      <c r="G252" s="90"/>
      <c r="H252" s="91"/>
      <c r="I252" s="89" t="str">
        <f t="shared" si="14"/>
        <v/>
      </c>
    </row>
    <row r="253" spans="1:9" s="89" customFormat="1" ht="16.5">
      <c r="A253" s="90"/>
      <c r="B253" s="91"/>
      <c r="C253" s="89" t="str">
        <f t="shared" si="12"/>
        <v/>
      </c>
      <c r="D253" s="90"/>
      <c r="E253" s="91"/>
      <c r="F253" s="89" t="str">
        <f t="shared" si="13"/>
        <v/>
      </c>
      <c r="G253" s="90"/>
      <c r="H253" s="91"/>
      <c r="I253" s="89" t="str">
        <f t="shared" si="14"/>
        <v/>
      </c>
    </row>
    <row r="254" spans="1:9" s="89" customFormat="1" ht="16.5">
      <c r="A254" s="90"/>
      <c r="B254" s="91"/>
      <c r="C254" s="89" t="str">
        <f t="shared" si="12"/>
        <v/>
      </c>
      <c r="D254" s="90"/>
      <c r="E254" s="91"/>
      <c r="F254" s="89" t="str">
        <f t="shared" si="13"/>
        <v/>
      </c>
      <c r="G254" s="90"/>
      <c r="H254" s="91"/>
      <c r="I254" s="89" t="str">
        <f t="shared" si="14"/>
        <v/>
      </c>
    </row>
    <row r="255" spans="1:9" s="89" customFormat="1" ht="16.5">
      <c r="A255" s="90"/>
      <c r="B255" s="91"/>
      <c r="C255" s="89" t="str">
        <f t="shared" si="12"/>
        <v/>
      </c>
      <c r="D255" s="90"/>
      <c r="E255" s="91"/>
      <c r="F255" s="89" t="str">
        <f t="shared" si="13"/>
        <v/>
      </c>
      <c r="G255" s="90"/>
      <c r="H255" s="91"/>
      <c r="I255" s="89" t="str">
        <f t="shared" si="14"/>
        <v/>
      </c>
    </row>
    <row r="256" spans="1:9" s="89" customFormat="1" ht="16.5">
      <c r="A256" s="90"/>
      <c r="B256" s="91"/>
      <c r="C256" s="89" t="str">
        <f t="shared" si="12"/>
        <v/>
      </c>
      <c r="D256" s="90"/>
      <c r="E256" s="91"/>
      <c r="F256" s="89" t="str">
        <f t="shared" si="13"/>
        <v/>
      </c>
      <c r="G256" s="90"/>
      <c r="H256" s="91"/>
      <c r="I256" s="89" t="str">
        <f t="shared" si="14"/>
        <v/>
      </c>
    </row>
    <row r="257" spans="1:9" s="89" customFormat="1" ht="16.5">
      <c r="A257" s="90"/>
      <c r="B257" s="91"/>
      <c r="C257" s="89" t="str">
        <f t="shared" si="12"/>
        <v/>
      </c>
      <c r="D257" s="90"/>
      <c r="E257" s="91"/>
      <c r="F257" s="89" t="str">
        <f t="shared" si="13"/>
        <v/>
      </c>
      <c r="G257" s="90"/>
      <c r="H257" s="91"/>
      <c r="I257" s="89" t="str">
        <f t="shared" si="14"/>
        <v/>
      </c>
    </row>
    <row r="258" spans="1:9" s="89" customFormat="1" ht="16.5">
      <c r="A258" s="90"/>
      <c r="B258" s="91"/>
      <c r="C258" s="89" t="str">
        <f t="shared" si="12"/>
        <v/>
      </c>
      <c r="D258" s="90"/>
      <c r="E258" s="91"/>
      <c r="F258" s="89" t="str">
        <f t="shared" si="13"/>
        <v/>
      </c>
      <c r="G258" s="90"/>
      <c r="H258" s="91"/>
      <c r="I258" s="89" t="str">
        <f t="shared" si="14"/>
        <v/>
      </c>
    </row>
    <row r="259" spans="1:9" s="89" customFormat="1" ht="16.5">
      <c r="A259" s="90"/>
      <c r="B259" s="91"/>
      <c r="C259" s="89" t="str">
        <f t="shared" si="12"/>
        <v/>
      </c>
      <c r="D259" s="90"/>
      <c r="E259" s="91"/>
      <c r="F259" s="89" t="str">
        <f t="shared" si="13"/>
        <v/>
      </c>
      <c r="G259" s="90"/>
      <c r="H259" s="91"/>
      <c r="I259" s="89" t="str">
        <f t="shared" si="14"/>
        <v/>
      </c>
    </row>
    <row r="260" spans="1:9" s="89" customFormat="1" ht="16.5">
      <c r="A260" s="90"/>
      <c r="B260" s="91"/>
      <c r="C260" s="89" t="str">
        <f t="shared" si="12"/>
        <v/>
      </c>
      <c r="D260" s="90"/>
      <c r="E260" s="91"/>
      <c r="F260" s="89" t="str">
        <f t="shared" si="13"/>
        <v/>
      </c>
      <c r="G260" s="90"/>
      <c r="H260" s="91"/>
      <c r="I260" s="89" t="str">
        <f t="shared" si="14"/>
        <v/>
      </c>
    </row>
    <row r="261" spans="1:9" s="89" customFormat="1" ht="16.5">
      <c r="A261" s="90"/>
      <c r="B261" s="91"/>
      <c r="C261" s="89" t="str">
        <f t="shared" si="12"/>
        <v/>
      </c>
      <c r="D261" s="90"/>
      <c r="E261" s="91"/>
      <c r="F261" s="89" t="str">
        <f t="shared" si="13"/>
        <v/>
      </c>
      <c r="G261" s="90"/>
      <c r="H261" s="91"/>
      <c r="I261" s="89" t="str">
        <f t="shared" si="14"/>
        <v/>
      </c>
    </row>
    <row r="262" spans="1:9" s="89" customFormat="1" ht="16.5">
      <c r="A262" s="90"/>
      <c r="B262" s="91"/>
      <c r="C262" s="89" t="str">
        <f t="shared" si="12"/>
        <v/>
      </c>
      <c r="D262" s="90"/>
      <c r="E262" s="91"/>
      <c r="F262" s="89" t="str">
        <f t="shared" si="13"/>
        <v/>
      </c>
      <c r="G262" s="90"/>
      <c r="H262" s="91"/>
      <c r="I262" s="89" t="str">
        <f t="shared" si="14"/>
        <v/>
      </c>
    </row>
    <row r="263" spans="1:9" s="89" customFormat="1" ht="16.5">
      <c r="A263" s="90"/>
      <c r="B263" s="91"/>
      <c r="C263" s="89" t="str">
        <f t="shared" si="12"/>
        <v/>
      </c>
      <c r="D263" s="90"/>
      <c r="E263" s="91"/>
      <c r="F263" s="89" t="str">
        <f t="shared" si="13"/>
        <v/>
      </c>
      <c r="G263" s="90"/>
      <c r="H263" s="91"/>
      <c r="I263" s="89" t="str">
        <f t="shared" si="14"/>
        <v/>
      </c>
    </row>
    <row r="264" spans="1:9" s="89" customFormat="1" ht="16.5">
      <c r="A264" s="90"/>
      <c r="B264" s="91"/>
      <c r="C264" s="89" t="str">
        <f t="shared" si="12"/>
        <v/>
      </c>
      <c r="D264" s="90"/>
      <c r="E264" s="91"/>
      <c r="F264" s="89" t="str">
        <f t="shared" si="13"/>
        <v/>
      </c>
      <c r="G264" s="90"/>
      <c r="H264" s="91"/>
      <c r="I264" s="89" t="str">
        <f t="shared" si="14"/>
        <v/>
      </c>
    </row>
    <row r="265" spans="1:9" s="89" customFormat="1" ht="16.5">
      <c r="A265" s="90"/>
      <c r="B265" s="91"/>
      <c r="C265" s="89" t="str">
        <f t="shared" si="12"/>
        <v/>
      </c>
      <c r="D265" s="90"/>
      <c r="E265" s="91"/>
      <c r="F265" s="89" t="str">
        <f t="shared" si="13"/>
        <v/>
      </c>
      <c r="G265" s="90"/>
      <c r="H265" s="91"/>
      <c r="I265" s="89" t="str">
        <f t="shared" si="14"/>
        <v/>
      </c>
    </row>
    <row r="266" spans="1:9" s="89" customFormat="1" ht="16.5">
      <c r="A266" s="90"/>
      <c r="B266" s="91"/>
      <c r="C266" s="89" t="str">
        <f t="shared" si="12"/>
        <v/>
      </c>
      <c r="D266" s="90"/>
      <c r="E266" s="91"/>
      <c r="F266" s="89" t="str">
        <f t="shared" si="13"/>
        <v/>
      </c>
      <c r="G266" s="90"/>
      <c r="H266" s="91"/>
      <c r="I266" s="89" t="str">
        <f t="shared" si="14"/>
        <v/>
      </c>
    </row>
    <row r="267" spans="1:9" s="89" customFormat="1" ht="16.5">
      <c r="A267" s="90"/>
      <c r="B267" s="91"/>
      <c r="C267" s="89" t="str">
        <f t="shared" si="12"/>
        <v/>
      </c>
      <c r="D267" s="90"/>
      <c r="E267" s="91"/>
      <c r="F267" s="89" t="str">
        <f t="shared" si="13"/>
        <v/>
      </c>
      <c r="G267" s="90"/>
      <c r="H267" s="91"/>
      <c r="I267" s="89" t="str">
        <f t="shared" si="14"/>
        <v/>
      </c>
    </row>
    <row r="268" spans="1:9" s="89" customFormat="1" ht="16.5">
      <c r="A268" s="90"/>
      <c r="B268" s="91"/>
      <c r="C268" s="89" t="str">
        <f t="shared" si="12"/>
        <v/>
      </c>
      <c r="D268" s="90"/>
      <c r="E268" s="91"/>
      <c r="F268" s="89" t="str">
        <f t="shared" si="13"/>
        <v/>
      </c>
      <c r="G268" s="90"/>
      <c r="H268" s="91"/>
      <c r="I268" s="89" t="str">
        <f t="shared" si="14"/>
        <v/>
      </c>
    </row>
    <row r="269" spans="1:9" s="89" customFormat="1" ht="16.5">
      <c r="A269" s="90"/>
      <c r="B269" s="91"/>
      <c r="C269" s="89" t="str">
        <f t="shared" si="12"/>
        <v/>
      </c>
      <c r="D269" s="90"/>
      <c r="E269" s="91"/>
      <c r="F269" s="89" t="str">
        <f t="shared" si="13"/>
        <v/>
      </c>
      <c r="G269" s="90"/>
      <c r="H269" s="91"/>
      <c r="I269" s="89" t="str">
        <f t="shared" si="14"/>
        <v/>
      </c>
    </row>
    <row r="270" spans="1:9" s="89" customFormat="1" ht="16.5">
      <c r="A270" s="90"/>
      <c r="B270" s="91"/>
      <c r="C270" s="89" t="str">
        <f t="shared" si="12"/>
        <v/>
      </c>
      <c r="D270" s="90"/>
      <c r="E270" s="91"/>
      <c r="F270" s="89" t="str">
        <f t="shared" si="13"/>
        <v/>
      </c>
      <c r="G270" s="90"/>
      <c r="H270" s="91"/>
      <c r="I270" s="89" t="str">
        <f t="shared" si="14"/>
        <v/>
      </c>
    </row>
    <row r="271" spans="1:9" s="89" customFormat="1" ht="16.5">
      <c r="A271" s="90"/>
      <c r="B271" s="91"/>
      <c r="C271" s="89" t="str">
        <f t="shared" si="12"/>
        <v/>
      </c>
      <c r="D271" s="90"/>
      <c r="E271" s="91"/>
      <c r="F271" s="89" t="str">
        <f t="shared" si="13"/>
        <v/>
      </c>
      <c r="G271" s="90"/>
      <c r="H271" s="91"/>
      <c r="I271" s="89" t="str">
        <f t="shared" si="14"/>
        <v/>
      </c>
    </row>
    <row r="272" spans="1:9" s="89" customFormat="1" ht="16.5">
      <c r="A272" s="90"/>
      <c r="B272" s="91"/>
      <c r="C272" s="89" t="str">
        <f t="shared" si="12"/>
        <v/>
      </c>
      <c r="D272" s="90"/>
      <c r="E272" s="91"/>
      <c r="F272" s="89" t="str">
        <f t="shared" si="13"/>
        <v/>
      </c>
      <c r="G272" s="90"/>
      <c r="H272" s="91"/>
      <c r="I272" s="89" t="str">
        <f t="shared" si="14"/>
        <v/>
      </c>
    </row>
    <row r="273" spans="1:9" s="89" customFormat="1" ht="16.5">
      <c r="A273" s="90"/>
      <c r="B273" s="91"/>
      <c r="C273" s="89" t="str">
        <f t="shared" si="12"/>
        <v/>
      </c>
      <c r="D273" s="90"/>
      <c r="E273" s="91"/>
      <c r="F273" s="89" t="str">
        <f t="shared" si="13"/>
        <v/>
      </c>
      <c r="G273" s="90"/>
      <c r="H273" s="91"/>
      <c r="I273" s="89" t="str">
        <f t="shared" si="14"/>
        <v/>
      </c>
    </row>
    <row r="274" spans="1:9" s="89" customFormat="1" ht="16.5">
      <c r="A274" s="90"/>
      <c r="B274" s="91"/>
      <c r="C274" s="89" t="str">
        <f t="shared" si="12"/>
        <v/>
      </c>
      <c r="D274" s="90"/>
      <c r="E274" s="91"/>
      <c r="F274" s="89" t="str">
        <f t="shared" si="13"/>
        <v/>
      </c>
      <c r="G274" s="90"/>
      <c r="H274" s="91"/>
      <c r="I274" s="89" t="str">
        <f t="shared" si="14"/>
        <v/>
      </c>
    </row>
    <row r="275" spans="1:9" s="89" customFormat="1" ht="16.5">
      <c r="A275" s="90"/>
      <c r="B275" s="91"/>
      <c r="C275" s="89" t="str">
        <f t="shared" si="12"/>
        <v/>
      </c>
      <c r="D275" s="90"/>
      <c r="E275" s="91"/>
      <c r="F275" s="89" t="str">
        <f t="shared" si="13"/>
        <v/>
      </c>
      <c r="G275" s="90"/>
      <c r="H275" s="91"/>
      <c r="I275" s="89" t="str">
        <f t="shared" si="14"/>
        <v/>
      </c>
    </row>
    <row r="276" spans="1:9" s="89" customFormat="1" ht="16.5">
      <c r="A276" s="90"/>
      <c r="B276" s="91"/>
      <c r="C276" s="89" t="str">
        <f t="shared" si="12"/>
        <v/>
      </c>
      <c r="D276" s="90"/>
      <c r="E276" s="91"/>
      <c r="F276" s="89" t="str">
        <f t="shared" si="13"/>
        <v/>
      </c>
      <c r="G276" s="90"/>
      <c r="H276" s="91"/>
      <c r="I276" s="89" t="str">
        <f t="shared" si="14"/>
        <v/>
      </c>
    </row>
    <row r="277" spans="1:9" s="89" customFormat="1" ht="16.5">
      <c r="A277" s="90"/>
      <c r="B277" s="91"/>
      <c r="C277" s="89" t="str">
        <f t="shared" si="12"/>
        <v/>
      </c>
      <c r="D277" s="90"/>
      <c r="E277" s="91"/>
      <c r="F277" s="89" t="str">
        <f t="shared" si="13"/>
        <v/>
      </c>
      <c r="G277" s="90"/>
      <c r="H277" s="91"/>
      <c r="I277" s="89" t="str">
        <f t="shared" si="14"/>
        <v/>
      </c>
    </row>
    <row r="278" spans="1:9" s="89" customFormat="1" ht="16.5">
      <c r="A278" s="90"/>
      <c r="B278" s="91"/>
      <c r="C278" s="89" t="str">
        <f t="shared" si="12"/>
        <v/>
      </c>
      <c r="D278" s="90"/>
      <c r="E278" s="91"/>
      <c r="F278" s="89" t="str">
        <f t="shared" si="13"/>
        <v/>
      </c>
      <c r="G278" s="90"/>
      <c r="H278" s="91"/>
      <c r="I278" s="89" t="str">
        <f t="shared" si="14"/>
        <v/>
      </c>
    </row>
    <row r="279" spans="1:9" s="89" customFormat="1" ht="16.5">
      <c r="A279" s="90"/>
      <c r="B279" s="91"/>
      <c r="C279" s="89" t="str">
        <f t="shared" si="12"/>
        <v/>
      </c>
      <c r="D279" s="90"/>
      <c r="E279" s="91"/>
      <c r="F279" s="89" t="str">
        <f t="shared" si="13"/>
        <v/>
      </c>
      <c r="G279" s="90"/>
      <c r="H279" s="91"/>
      <c r="I279" s="89" t="str">
        <f t="shared" si="14"/>
        <v/>
      </c>
    </row>
    <row r="280" spans="1:9" s="89" customFormat="1" ht="16.5">
      <c r="A280" s="90"/>
      <c r="B280" s="91"/>
      <c r="C280" s="89" t="str">
        <f t="shared" si="12"/>
        <v/>
      </c>
      <c r="D280" s="90"/>
      <c r="E280" s="91"/>
      <c r="F280" s="89" t="str">
        <f t="shared" si="13"/>
        <v/>
      </c>
      <c r="G280" s="90"/>
      <c r="H280" s="91"/>
      <c r="I280" s="89" t="str">
        <f t="shared" si="14"/>
        <v/>
      </c>
    </row>
    <row r="281" spans="1:9" s="89" customFormat="1" ht="16.5">
      <c r="A281" s="90"/>
      <c r="B281" s="91"/>
      <c r="C281" s="89" t="str">
        <f t="shared" si="12"/>
        <v/>
      </c>
      <c r="D281" s="90"/>
      <c r="E281" s="91"/>
      <c r="F281" s="89" t="str">
        <f t="shared" si="13"/>
        <v/>
      </c>
      <c r="G281" s="90"/>
      <c r="H281" s="91"/>
      <c r="I281" s="89" t="str">
        <f t="shared" si="14"/>
        <v/>
      </c>
    </row>
    <row r="282" spans="1:9" s="89" customFormat="1" ht="16.5">
      <c r="A282" s="90"/>
      <c r="B282" s="91"/>
      <c r="C282" s="89" t="str">
        <f t="shared" si="12"/>
        <v/>
      </c>
      <c r="D282" s="90"/>
      <c r="E282" s="91"/>
      <c r="F282" s="89" t="str">
        <f t="shared" si="13"/>
        <v/>
      </c>
      <c r="G282" s="90"/>
      <c r="H282" s="91"/>
      <c r="I282" s="89" t="str">
        <f t="shared" si="14"/>
        <v/>
      </c>
    </row>
    <row r="283" spans="1:9" s="89" customFormat="1" ht="16.5">
      <c r="A283" s="90"/>
      <c r="B283" s="91"/>
      <c r="C283" s="89" t="str">
        <f t="shared" si="12"/>
        <v/>
      </c>
      <c r="D283" s="90"/>
      <c r="E283" s="91"/>
      <c r="F283" s="89" t="str">
        <f t="shared" si="13"/>
        <v/>
      </c>
      <c r="G283" s="90"/>
      <c r="H283" s="91"/>
      <c r="I283" s="89" t="str">
        <f t="shared" si="14"/>
        <v/>
      </c>
    </row>
    <row r="284" spans="1:9" s="89" customFormat="1" ht="16.5">
      <c r="A284" s="90"/>
      <c r="B284" s="91"/>
      <c r="C284" s="89" t="str">
        <f t="shared" si="12"/>
        <v/>
      </c>
      <c r="D284" s="90"/>
      <c r="E284" s="91"/>
      <c r="F284" s="89" t="str">
        <f t="shared" si="13"/>
        <v/>
      </c>
      <c r="G284" s="90"/>
      <c r="H284" s="91"/>
      <c r="I284" s="89" t="str">
        <f t="shared" si="14"/>
        <v/>
      </c>
    </row>
    <row r="285" spans="1:9" s="89" customFormat="1" ht="16.5">
      <c r="A285" s="90"/>
      <c r="B285" s="91"/>
      <c r="C285" s="89" t="str">
        <f t="shared" si="12"/>
        <v/>
      </c>
      <c r="D285" s="90"/>
      <c r="E285" s="91"/>
      <c r="F285" s="89" t="str">
        <f t="shared" si="13"/>
        <v/>
      </c>
      <c r="G285" s="90"/>
      <c r="H285" s="91"/>
      <c r="I285" s="89" t="str">
        <f t="shared" si="14"/>
        <v/>
      </c>
    </row>
    <row r="286" spans="1:9" s="89" customFormat="1" ht="16.5">
      <c r="A286" s="90"/>
      <c r="B286" s="93"/>
      <c r="C286" s="89" t="str">
        <f t="shared" si="12"/>
        <v/>
      </c>
      <c r="D286" s="90"/>
      <c r="E286" s="93"/>
      <c r="F286" s="89" t="str">
        <f t="shared" si="13"/>
        <v/>
      </c>
      <c r="G286" s="90"/>
      <c r="H286" s="93"/>
      <c r="I286" s="89" t="str">
        <f t="shared" si="14"/>
        <v/>
      </c>
    </row>
    <row r="287" spans="1:9" s="89" customFormat="1" ht="16.5">
      <c r="A287" s="90"/>
      <c r="B287" s="93"/>
      <c r="C287" s="89" t="str">
        <f t="shared" si="12"/>
        <v/>
      </c>
      <c r="D287" s="90"/>
      <c r="E287" s="93"/>
      <c r="F287" s="89" t="str">
        <f t="shared" si="13"/>
        <v/>
      </c>
      <c r="G287" s="90"/>
      <c r="H287" s="93"/>
      <c r="I287" s="89" t="str">
        <f t="shared" si="14"/>
        <v/>
      </c>
    </row>
    <row r="288" spans="1:9" s="89" customFormat="1" ht="16.5">
      <c r="A288" s="90"/>
      <c r="B288" s="93"/>
      <c r="C288" s="89" t="str">
        <f t="shared" si="12"/>
        <v/>
      </c>
      <c r="D288" s="90"/>
      <c r="E288" s="93"/>
      <c r="F288" s="89" t="str">
        <f t="shared" si="13"/>
        <v/>
      </c>
      <c r="G288" s="90"/>
      <c r="H288" s="93"/>
      <c r="I288" s="89" t="str">
        <f t="shared" si="14"/>
        <v/>
      </c>
    </row>
    <row r="289" spans="1:7" s="89" customFormat="1" ht="16.5">
      <c r="A289" s="89" t="s">
        <v>445</v>
      </c>
      <c r="D289" s="89" t="s">
        <v>445</v>
      </c>
      <c r="G289" s="89" t="s">
        <v>445</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A583"/>
  <sheetViews>
    <sheetView zoomScaleNormal="100" workbookViewId="0">
      <pane ySplit="1" topLeftCell="A386" activePane="bottomLeft" state="frozen"/>
      <selection pane="bottomLeft" activeCell="E403" sqref="E403"/>
    </sheetView>
  </sheetViews>
  <sheetFormatPr defaultColWidth="73.375" defaultRowHeight="12"/>
  <cols>
    <col min="1" max="1" width="7.625" style="81" bestFit="1" customWidth="1"/>
    <col min="2" max="2" width="8.375" style="82" bestFit="1" customWidth="1"/>
    <col min="3" max="3" width="15.75" style="83" customWidth="1"/>
    <col min="4" max="4" width="47.125" style="84" customWidth="1"/>
    <col min="5" max="5" width="56.125" style="84" customWidth="1"/>
    <col min="6" max="6" width="57.375" style="81" customWidth="1"/>
    <col min="7" max="26" width="73.375" style="81"/>
    <col min="27" max="27" width="73.375" style="81" hidden="1" customWidth="1"/>
    <col min="28" max="16384" width="73.375" style="81"/>
  </cols>
  <sheetData>
    <row r="1" spans="1:6" s="79" customFormat="1">
      <c r="A1" s="79" t="s">
        <v>446</v>
      </c>
      <c r="B1" s="79" t="s">
        <v>447</v>
      </c>
      <c r="C1" s="80" t="s">
        <v>448</v>
      </c>
      <c r="D1" s="80" t="s">
        <v>449</v>
      </c>
      <c r="E1" s="80" t="s">
        <v>450</v>
      </c>
      <c r="F1" s="79" t="s">
        <v>451</v>
      </c>
    </row>
    <row r="2" spans="1:6" ht="84">
      <c r="A2" s="81" t="s">
        <v>452</v>
      </c>
      <c r="B2" s="82">
        <v>1</v>
      </c>
      <c r="C2" s="83" t="s">
        <v>453</v>
      </c>
      <c r="D2" s="84" t="s">
        <v>454</v>
      </c>
      <c r="E2" s="84" t="s">
        <v>455</v>
      </c>
      <c r="F2" s="84" t="s">
        <v>455</v>
      </c>
    </row>
    <row r="3" spans="1:6" ht="96">
      <c r="A3" s="135">
        <v>600</v>
      </c>
      <c r="B3" s="82">
        <v>2</v>
      </c>
      <c r="C3" s="83" t="s">
        <v>453</v>
      </c>
      <c r="D3" s="84" t="s">
        <v>456</v>
      </c>
      <c r="E3" s="84" t="s">
        <v>457</v>
      </c>
      <c r="F3" s="84" t="s">
        <v>457</v>
      </c>
    </row>
    <row r="4" spans="1:6" ht="60">
      <c r="B4" s="82">
        <v>3</v>
      </c>
      <c r="C4" s="83" t="s">
        <v>453</v>
      </c>
      <c r="D4" s="84" t="s">
        <v>458</v>
      </c>
      <c r="E4" s="84" t="s">
        <v>459</v>
      </c>
      <c r="F4" s="84" t="s">
        <v>459</v>
      </c>
    </row>
    <row r="5" spans="1:6" ht="60">
      <c r="B5" s="82">
        <v>4</v>
      </c>
      <c r="C5" s="83" t="s">
        <v>453</v>
      </c>
      <c r="D5" s="84" t="s">
        <v>460</v>
      </c>
      <c r="E5" s="84" t="s">
        <v>461</v>
      </c>
      <c r="F5" s="84" t="s">
        <v>461</v>
      </c>
    </row>
    <row r="6" spans="1:6" ht="60">
      <c r="B6" s="82">
        <v>5</v>
      </c>
      <c r="C6" s="83" t="s">
        <v>453</v>
      </c>
      <c r="D6" s="84" t="s">
        <v>462</v>
      </c>
      <c r="E6" s="84" t="s">
        <v>463</v>
      </c>
      <c r="F6" s="84" t="s">
        <v>463</v>
      </c>
    </row>
    <row r="7" spans="1:6" ht="48">
      <c r="B7" s="82">
        <v>6</v>
      </c>
      <c r="C7" s="83" t="s">
        <v>453</v>
      </c>
      <c r="D7" s="84" t="s">
        <v>464</v>
      </c>
      <c r="E7" s="84" t="s">
        <v>465</v>
      </c>
      <c r="F7" s="84" t="s">
        <v>465</v>
      </c>
    </row>
    <row r="8" spans="1:6">
      <c r="B8" s="82">
        <v>7</v>
      </c>
      <c r="C8" s="83" t="s">
        <v>453</v>
      </c>
      <c r="D8" s="84" t="s">
        <v>466</v>
      </c>
      <c r="E8" s="84" t="s">
        <v>467</v>
      </c>
      <c r="F8" s="84" t="s">
        <v>467</v>
      </c>
    </row>
    <row r="9" spans="1:6" ht="48">
      <c r="B9" s="82">
        <v>8</v>
      </c>
      <c r="C9" s="83" t="s">
        <v>468</v>
      </c>
      <c r="D9" s="84" t="s">
        <v>469</v>
      </c>
      <c r="E9" s="84" t="s">
        <v>470</v>
      </c>
      <c r="F9" s="84" t="s">
        <v>470</v>
      </c>
    </row>
    <row r="10" spans="1:6" ht="48">
      <c r="B10" s="82">
        <v>9</v>
      </c>
      <c r="C10" s="83" t="s">
        <v>468</v>
      </c>
      <c r="D10" s="84" t="s">
        <v>471</v>
      </c>
      <c r="E10" s="84" t="s">
        <v>472</v>
      </c>
      <c r="F10" s="84" t="s">
        <v>472</v>
      </c>
    </row>
    <row r="11" spans="1:6" ht="60">
      <c r="B11" s="82">
        <v>10</v>
      </c>
      <c r="C11" s="83" t="s">
        <v>468</v>
      </c>
      <c r="D11" s="84" t="s">
        <v>473</v>
      </c>
      <c r="E11" s="84" t="s">
        <v>168</v>
      </c>
      <c r="F11" s="84" t="s">
        <v>168</v>
      </c>
    </row>
    <row r="12" spans="1:6" ht="48">
      <c r="B12" s="82">
        <v>11</v>
      </c>
      <c r="C12" s="83" t="s">
        <v>468</v>
      </c>
      <c r="D12" s="84" t="s">
        <v>474</v>
      </c>
      <c r="E12" s="84" t="s">
        <v>172</v>
      </c>
      <c r="F12" s="84" t="s">
        <v>172</v>
      </c>
    </row>
    <row r="13" spans="1:6" ht="72">
      <c r="B13" s="82">
        <v>12</v>
      </c>
      <c r="C13" s="83" t="s">
        <v>468</v>
      </c>
      <c r="D13" s="84" t="s">
        <v>475</v>
      </c>
      <c r="E13" s="84" t="s">
        <v>476</v>
      </c>
      <c r="F13" s="84" t="s">
        <v>476</v>
      </c>
    </row>
    <row r="14" spans="1:6">
      <c r="B14" s="82">
        <v>101</v>
      </c>
      <c r="D14" s="84" t="s">
        <v>477</v>
      </c>
      <c r="E14" s="84" t="s">
        <v>478</v>
      </c>
      <c r="F14" s="84" t="s">
        <v>478</v>
      </c>
    </row>
    <row r="15" spans="1:6">
      <c r="B15" s="82">
        <v>102</v>
      </c>
      <c r="D15" s="84" t="s">
        <v>479</v>
      </c>
      <c r="E15" s="84" t="s">
        <v>480</v>
      </c>
      <c r="F15" s="84" t="s">
        <v>480</v>
      </c>
    </row>
    <row r="16" spans="1:6">
      <c r="B16" s="82">
        <v>103</v>
      </c>
      <c r="D16" s="84" t="s">
        <v>481</v>
      </c>
      <c r="E16" s="84" t="s">
        <v>482</v>
      </c>
      <c r="F16" s="84" t="s">
        <v>482</v>
      </c>
    </row>
    <row r="17" spans="1:6">
      <c r="B17" s="82">
        <v>104</v>
      </c>
      <c r="D17" s="84" t="s">
        <v>483</v>
      </c>
      <c r="E17" s="84" t="s">
        <v>484</v>
      </c>
      <c r="F17" s="84" t="s">
        <v>484</v>
      </c>
    </row>
    <row r="18" spans="1:6">
      <c r="B18" s="82">
        <v>105</v>
      </c>
      <c r="D18" s="84" t="s">
        <v>485</v>
      </c>
      <c r="E18" s="84" t="s">
        <v>486</v>
      </c>
      <c r="F18" s="84" t="s">
        <v>486</v>
      </c>
    </row>
    <row r="19" spans="1:6" ht="24">
      <c r="B19" s="82">
        <v>106</v>
      </c>
      <c r="D19" s="84" t="s">
        <v>487</v>
      </c>
      <c r="E19" s="84" t="s">
        <v>488</v>
      </c>
      <c r="F19" s="84" t="s">
        <v>488</v>
      </c>
    </row>
    <row r="20" spans="1:6" ht="36">
      <c r="B20" s="82">
        <v>107</v>
      </c>
      <c r="D20" s="84" t="s">
        <v>489</v>
      </c>
      <c r="E20" s="84" t="s">
        <v>490</v>
      </c>
      <c r="F20" s="84" t="s">
        <v>490</v>
      </c>
    </row>
    <row r="21" spans="1:6" ht="36">
      <c r="B21" s="82">
        <v>108</v>
      </c>
      <c r="D21" s="84" t="s">
        <v>491</v>
      </c>
      <c r="E21" s="84" t="s">
        <v>492</v>
      </c>
      <c r="F21" s="84" t="s">
        <v>492</v>
      </c>
    </row>
    <row r="22" spans="1:6">
      <c r="B22" s="82">
        <v>109</v>
      </c>
      <c r="D22" s="84" t="s">
        <v>493</v>
      </c>
      <c r="E22" s="84" t="s">
        <v>494</v>
      </c>
      <c r="F22" s="84" t="s">
        <v>494</v>
      </c>
    </row>
    <row r="23" spans="1:6">
      <c r="B23" s="82">
        <v>110</v>
      </c>
      <c r="D23" s="84" t="s">
        <v>495</v>
      </c>
      <c r="E23" s="84" t="s">
        <v>496</v>
      </c>
      <c r="F23" s="84" t="s">
        <v>496</v>
      </c>
    </row>
    <row r="24" spans="1:6">
      <c r="B24" s="82">
        <v>111</v>
      </c>
      <c r="D24" s="84" t="s">
        <v>497</v>
      </c>
      <c r="E24" s="84" t="s">
        <v>427</v>
      </c>
      <c r="F24" s="84" t="s">
        <v>427</v>
      </c>
    </row>
    <row r="25" spans="1:6">
      <c r="A25" s="136"/>
      <c r="B25" s="82">
        <v>112</v>
      </c>
      <c r="C25" s="137" t="s">
        <v>498</v>
      </c>
      <c r="D25" s="135" t="s">
        <v>499</v>
      </c>
      <c r="E25" s="135" t="s">
        <v>500</v>
      </c>
      <c r="F25" s="135" t="s">
        <v>500</v>
      </c>
    </row>
    <row r="26" spans="1:6">
      <c r="B26" s="82">
        <v>113</v>
      </c>
      <c r="D26" s="84" t="s">
        <v>501</v>
      </c>
      <c r="E26" s="84" t="s">
        <v>500</v>
      </c>
      <c r="F26" s="84" t="s">
        <v>500</v>
      </c>
    </row>
    <row r="27" spans="1:6">
      <c r="B27" s="82">
        <v>114</v>
      </c>
      <c r="C27" s="83" t="s">
        <v>502</v>
      </c>
      <c r="D27" s="84" t="s">
        <v>503</v>
      </c>
      <c r="E27" s="84" t="s">
        <v>504</v>
      </c>
      <c r="F27" s="84" t="s">
        <v>504</v>
      </c>
    </row>
    <row r="28" spans="1:6">
      <c r="B28" s="82">
        <v>115</v>
      </c>
      <c r="D28" s="84" t="s">
        <v>505</v>
      </c>
      <c r="E28" s="84" t="s">
        <v>506</v>
      </c>
      <c r="F28" s="84" t="s">
        <v>506</v>
      </c>
    </row>
    <row r="29" spans="1:6">
      <c r="B29" s="82">
        <v>116</v>
      </c>
      <c r="D29" s="84" t="s">
        <v>507</v>
      </c>
      <c r="E29" s="84" t="s">
        <v>508</v>
      </c>
      <c r="F29" s="84" t="s">
        <v>508</v>
      </c>
    </row>
    <row r="30" spans="1:6">
      <c r="B30" s="82">
        <v>117</v>
      </c>
      <c r="D30" s="84" t="s">
        <v>509</v>
      </c>
      <c r="E30" s="84" t="s">
        <v>510</v>
      </c>
      <c r="F30" s="84" t="s">
        <v>510</v>
      </c>
    </row>
    <row r="31" spans="1:6" ht="24">
      <c r="B31" s="82">
        <v>118</v>
      </c>
      <c r="D31" s="84" t="s">
        <v>511</v>
      </c>
      <c r="E31" s="84" t="s">
        <v>512</v>
      </c>
      <c r="F31" s="84" t="s">
        <v>512</v>
      </c>
    </row>
    <row r="32" spans="1:6">
      <c r="B32" s="82">
        <v>119</v>
      </c>
      <c r="D32" s="84" t="s">
        <v>513</v>
      </c>
      <c r="E32" s="84" t="s">
        <v>514</v>
      </c>
      <c r="F32" s="84" t="s">
        <v>514</v>
      </c>
    </row>
    <row r="33" spans="2:6">
      <c r="B33" s="82">
        <v>120</v>
      </c>
      <c r="D33" s="84" t="s">
        <v>515</v>
      </c>
      <c r="E33" s="84" t="s">
        <v>516</v>
      </c>
      <c r="F33" s="84" t="s">
        <v>516</v>
      </c>
    </row>
    <row r="34" spans="2:6" ht="24">
      <c r="B34" s="82">
        <v>121</v>
      </c>
      <c r="D34" s="84" t="s">
        <v>517</v>
      </c>
      <c r="E34" s="84" t="s">
        <v>418</v>
      </c>
      <c r="F34" s="84" t="s">
        <v>418</v>
      </c>
    </row>
    <row r="35" spans="2:6">
      <c r="B35" s="82">
        <v>122</v>
      </c>
      <c r="D35" s="84" t="s">
        <v>518</v>
      </c>
      <c r="E35" s="84" t="s">
        <v>519</v>
      </c>
      <c r="F35" s="84" t="s">
        <v>519</v>
      </c>
    </row>
    <row r="36" spans="2:6">
      <c r="B36" s="82">
        <v>123</v>
      </c>
      <c r="D36" s="84" t="s">
        <v>520</v>
      </c>
      <c r="E36" s="84" t="s">
        <v>521</v>
      </c>
      <c r="F36" s="84" t="s">
        <v>521</v>
      </c>
    </row>
    <row r="37" spans="2:6">
      <c r="B37" s="82">
        <v>124</v>
      </c>
      <c r="D37" s="84" t="s">
        <v>522</v>
      </c>
      <c r="E37" s="84" t="s">
        <v>523</v>
      </c>
      <c r="F37" s="84" t="s">
        <v>523</v>
      </c>
    </row>
    <row r="38" spans="2:6" ht="24">
      <c r="B38" s="82">
        <v>125</v>
      </c>
      <c r="D38" s="84" t="s">
        <v>524</v>
      </c>
      <c r="E38" s="84" t="s">
        <v>525</v>
      </c>
      <c r="F38" s="84" t="s">
        <v>525</v>
      </c>
    </row>
    <row r="39" spans="2:6" ht="24">
      <c r="B39" s="82">
        <v>126</v>
      </c>
      <c r="D39" s="84" t="s">
        <v>526</v>
      </c>
      <c r="E39" s="84" t="s">
        <v>527</v>
      </c>
      <c r="F39" s="84" t="s">
        <v>527</v>
      </c>
    </row>
    <row r="40" spans="2:6" ht="24">
      <c r="B40" s="82">
        <v>127</v>
      </c>
      <c r="D40" s="84" t="s">
        <v>528</v>
      </c>
      <c r="E40" s="84" t="s">
        <v>419</v>
      </c>
      <c r="F40" s="84" t="s">
        <v>419</v>
      </c>
    </row>
    <row r="41" spans="2:6" ht="24">
      <c r="B41" s="82">
        <v>128</v>
      </c>
      <c r="D41" s="84" t="s">
        <v>529</v>
      </c>
      <c r="E41" s="84" t="s">
        <v>530</v>
      </c>
      <c r="F41" s="84" t="s">
        <v>530</v>
      </c>
    </row>
    <row r="42" spans="2:6" ht="24">
      <c r="B42" s="82">
        <v>129</v>
      </c>
      <c r="D42" s="84" t="s">
        <v>531</v>
      </c>
      <c r="E42" s="84" t="s">
        <v>532</v>
      </c>
      <c r="F42" s="84" t="s">
        <v>532</v>
      </c>
    </row>
    <row r="43" spans="2:6">
      <c r="B43" s="82">
        <v>130</v>
      </c>
      <c r="D43" s="84" t="s">
        <v>533</v>
      </c>
      <c r="E43" s="84" t="s">
        <v>534</v>
      </c>
      <c r="F43" s="84" t="s">
        <v>534</v>
      </c>
    </row>
    <row r="44" spans="2:6">
      <c r="B44" s="82">
        <v>131</v>
      </c>
      <c r="D44" s="84" t="s">
        <v>535</v>
      </c>
      <c r="E44" s="84" t="s">
        <v>536</v>
      </c>
      <c r="F44" s="84" t="s">
        <v>536</v>
      </c>
    </row>
    <row r="45" spans="2:6">
      <c r="B45" s="82">
        <v>132</v>
      </c>
      <c r="D45" s="84" t="s">
        <v>537</v>
      </c>
      <c r="E45" s="84" t="s">
        <v>538</v>
      </c>
      <c r="F45" s="84" t="s">
        <v>538</v>
      </c>
    </row>
    <row r="46" spans="2:6">
      <c r="B46" s="82">
        <v>133</v>
      </c>
      <c r="D46" s="84" t="s">
        <v>539</v>
      </c>
      <c r="E46" s="84" t="s">
        <v>540</v>
      </c>
      <c r="F46" s="84" t="s">
        <v>540</v>
      </c>
    </row>
    <row r="47" spans="2:6">
      <c r="B47" s="82">
        <v>134</v>
      </c>
      <c r="D47" s="84" t="s">
        <v>541</v>
      </c>
      <c r="E47" s="84" t="s">
        <v>542</v>
      </c>
      <c r="F47" s="84" t="s">
        <v>542</v>
      </c>
    </row>
    <row r="48" spans="2:6">
      <c r="B48" s="82">
        <v>135</v>
      </c>
      <c r="D48" s="135" t="s">
        <v>543</v>
      </c>
      <c r="E48" s="138">
        <v>43435</v>
      </c>
      <c r="F48" s="138">
        <v>43435</v>
      </c>
    </row>
    <row r="49" spans="2:6">
      <c r="B49" s="82">
        <v>136</v>
      </c>
      <c r="D49" s="135" t="s">
        <v>544</v>
      </c>
      <c r="E49" s="138">
        <v>43465</v>
      </c>
      <c r="F49" s="138">
        <v>43465</v>
      </c>
    </row>
    <row r="50" spans="2:6">
      <c r="B50" s="82">
        <v>137</v>
      </c>
      <c r="D50" s="84" t="s">
        <v>545</v>
      </c>
      <c r="E50" s="84" t="s">
        <v>545</v>
      </c>
      <c r="F50" s="84" t="s">
        <v>545</v>
      </c>
    </row>
    <row r="51" spans="2:6">
      <c r="B51" s="82">
        <v>138</v>
      </c>
      <c r="D51" s="84" t="s">
        <v>546</v>
      </c>
      <c r="E51" s="84" t="s">
        <v>547</v>
      </c>
      <c r="F51" s="84" t="s">
        <v>547</v>
      </c>
    </row>
    <row r="52" spans="2:6">
      <c r="B52" s="82">
        <v>139</v>
      </c>
      <c r="C52" s="83" t="s">
        <v>548</v>
      </c>
      <c r="D52" s="84" t="s">
        <v>549</v>
      </c>
      <c r="E52" s="84" t="s">
        <v>550</v>
      </c>
      <c r="F52" s="84" t="s">
        <v>550</v>
      </c>
    </row>
    <row r="53" spans="2:6" ht="24">
      <c r="B53" s="82">
        <v>140</v>
      </c>
      <c r="D53" s="84" t="s">
        <v>551</v>
      </c>
      <c r="E53" s="84" t="s">
        <v>552</v>
      </c>
      <c r="F53" s="84" t="s">
        <v>552</v>
      </c>
    </row>
    <row r="54" spans="2:6" ht="24">
      <c r="B54" s="82">
        <v>141</v>
      </c>
      <c r="D54" s="84" t="s">
        <v>553</v>
      </c>
      <c r="E54" s="84" t="s">
        <v>554</v>
      </c>
      <c r="F54" s="84" t="s">
        <v>554</v>
      </c>
    </row>
    <row r="55" spans="2:6">
      <c r="B55" s="82">
        <v>142</v>
      </c>
      <c r="D55" s="84" t="s">
        <v>555</v>
      </c>
      <c r="E55" s="84" t="s">
        <v>556</v>
      </c>
      <c r="F55" s="84" t="s">
        <v>556</v>
      </c>
    </row>
    <row r="56" spans="2:6">
      <c r="B56" s="82">
        <v>143</v>
      </c>
      <c r="C56" s="83" t="s">
        <v>557</v>
      </c>
      <c r="D56" s="81" t="s">
        <v>558</v>
      </c>
      <c r="E56" s="139" t="s">
        <v>559</v>
      </c>
      <c r="F56" s="139" t="s">
        <v>559</v>
      </c>
    </row>
    <row r="57" spans="2:6">
      <c r="B57" s="82">
        <v>144</v>
      </c>
      <c r="D57" s="84" t="s">
        <v>560</v>
      </c>
      <c r="E57" s="84" t="s">
        <v>561</v>
      </c>
      <c r="F57" s="84" t="s">
        <v>561</v>
      </c>
    </row>
    <row r="58" spans="2:6" ht="24">
      <c r="B58" s="82">
        <v>145</v>
      </c>
      <c r="D58" s="84" t="s">
        <v>562</v>
      </c>
      <c r="E58" s="84" t="s">
        <v>563</v>
      </c>
      <c r="F58" s="84" t="s">
        <v>563</v>
      </c>
    </row>
    <row r="59" spans="2:6">
      <c r="B59" s="82">
        <v>146</v>
      </c>
      <c r="D59" s="84" t="s">
        <v>564</v>
      </c>
      <c r="E59" s="84" t="s">
        <v>565</v>
      </c>
      <c r="F59" s="84" t="s">
        <v>565</v>
      </c>
    </row>
    <row r="60" spans="2:6" ht="24">
      <c r="B60" s="82">
        <v>147</v>
      </c>
      <c r="D60" s="84" t="s">
        <v>566</v>
      </c>
      <c r="E60" s="84" t="s">
        <v>567</v>
      </c>
      <c r="F60" s="84" t="s">
        <v>567</v>
      </c>
    </row>
    <row r="61" spans="2:6">
      <c r="B61" s="82">
        <v>148</v>
      </c>
      <c r="D61" s="84" t="s">
        <v>568</v>
      </c>
      <c r="E61" s="84" t="s">
        <v>569</v>
      </c>
      <c r="F61" s="84" t="s">
        <v>569</v>
      </c>
    </row>
    <row r="62" spans="2:6">
      <c r="B62" s="82">
        <v>149</v>
      </c>
      <c r="D62" s="84" t="s">
        <v>570</v>
      </c>
      <c r="E62" s="84" t="s">
        <v>571</v>
      </c>
      <c r="F62" s="84" t="s">
        <v>571</v>
      </c>
    </row>
    <row r="63" spans="2:6">
      <c r="B63" s="82">
        <v>150</v>
      </c>
      <c r="D63" s="84" t="s">
        <v>572</v>
      </c>
      <c r="E63" s="84" t="s">
        <v>573</v>
      </c>
      <c r="F63" s="84" t="s">
        <v>573</v>
      </c>
    </row>
    <row r="64" spans="2:6">
      <c r="B64" s="82">
        <v>151</v>
      </c>
      <c r="C64" s="83" t="s">
        <v>557</v>
      </c>
      <c r="D64" s="81" t="s">
        <v>574</v>
      </c>
      <c r="E64" s="139" t="s">
        <v>575</v>
      </c>
      <c r="F64" s="139" t="s">
        <v>575</v>
      </c>
    </row>
    <row r="65" spans="1:6">
      <c r="B65" s="82">
        <v>152</v>
      </c>
      <c r="D65" s="84" t="s">
        <v>576</v>
      </c>
      <c r="E65" s="84" t="s">
        <v>577</v>
      </c>
      <c r="F65" s="84" t="s">
        <v>577</v>
      </c>
    </row>
    <row r="66" spans="1:6">
      <c r="B66" s="82">
        <v>153</v>
      </c>
      <c r="D66" s="84" t="s">
        <v>578</v>
      </c>
      <c r="E66" s="84" t="s">
        <v>579</v>
      </c>
      <c r="F66" s="84" t="s">
        <v>579</v>
      </c>
    </row>
    <row r="67" spans="1:6">
      <c r="B67" s="82">
        <v>154</v>
      </c>
      <c r="D67" s="84" t="s">
        <v>580</v>
      </c>
      <c r="E67" s="84" t="s">
        <v>581</v>
      </c>
      <c r="F67" s="84" t="s">
        <v>581</v>
      </c>
    </row>
    <row r="68" spans="1:6" ht="24">
      <c r="B68" s="82">
        <v>155</v>
      </c>
      <c r="D68" s="84" t="s">
        <v>582</v>
      </c>
      <c r="E68" s="84" t="s">
        <v>583</v>
      </c>
      <c r="F68" s="84" t="s">
        <v>583</v>
      </c>
    </row>
    <row r="69" spans="1:6">
      <c r="B69" s="82">
        <v>156</v>
      </c>
      <c r="C69" s="83" t="s">
        <v>557</v>
      </c>
      <c r="D69" s="81" t="s">
        <v>584</v>
      </c>
      <c r="E69" s="139" t="s">
        <v>585</v>
      </c>
      <c r="F69" s="139" t="s">
        <v>585</v>
      </c>
    </row>
    <row r="70" spans="1:6">
      <c r="B70" s="82">
        <v>157</v>
      </c>
      <c r="C70" s="83" t="s">
        <v>557</v>
      </c>
      <c r="D70" s="81" t="s">
        <v>586</v>
      </c>
      <c r="E70" s="139" t="s">
        <v>587</v>
      </c>
      <c r="F70" s="139" t="s">
        <v>587</v>
      </c>
    </row>
    <row r="71" spans="1:6">
      <c r="B71" s="82">
        <v>158</v>
      </c>
      <c r="D71" s="84" t="s">
        <v>588</v>
      </c>
      <c r="E71" s="84" t="s">
        <v>589</v>
      </c>
      <c r="F71" s="84" t="s">
        <v>589</v>
      </c>
    </row>
    <row r="72" spans="1:6">
      <c r="A72" s="140"/>
      <c r="B72" s="82">
        <v>159</v>
      </c>
      <c r="C72" s="137" t="s">
        <v>498</v>
      </c>
      <c r="D72" s="135" t="s">
        <v>590</v>
      </c>
      <c r="E72" s="135" t="s">
        <v>591</v>
      </c>
      <c r="F72" s="135" t="s">
        <v>591</v>
      </c>
    </row>
    <row r="73" spans="1:6">
      <c r="B73" s="82">
        <v>160</v>
      </c>
      <c r="D73" s="84" t="s">
        <v>592</v>
      </c>
      <c r="E73" s="135" t="s">
        <v>593</v>
      </c>
      <c r="F73" s="135" t="s">
        <v>593</v>
      </c>
    </row>
    <row r="74" spans="1:6">
      <c r="B74" s="82">
        <v>161</v>
      </c>
      <c r="D74" s="84" t="s">
        <v>594</v>
      </c>
      <c r="E74" s="135" t="s">
        <v>595</v>
      </c>
      <c r="F74" s="135" t="s">
        <v>595</v>
      </c>
    </row>
    <row r="75" spans="1:6">
      <c r="B75" s="82">
        <v>162</v>
      </c>
      <c r="D75" s="84" t="s">
        <v>596</v>
      </c>
      <c r="E75" s="84" t="s">
        <v>597</v>
      </c>
      <c r="F75" s="84" t="s">
        <v>597</v>
      </c>
    </row>
    <row r="76" spans="1:6">
      <c r="B76" s="82">
        <v>163</v>
      </c>
      <c r="D76" s="84" t="s">
        <v>598</v>
      </c>
      <c r="E76" s="84" t="s">
        <v>599</v>
      </c>
      <c r="F76" s="84" t="s">
        <v>599</v>
      </c>
    </row>
    <row r="77" spans="1:6">
      <c r="B77" s="82">
        <v>164</v>
      </c>
      <c r="D77" s="84" t="s">
        <v>600</v>
      </c>
      <c r="E77" s="84" t="s">
        <v>601</v>
      </c>
      <c r="F77" s="84" t="s">
        <v>601</v>
      </c>
    </row>
    <row r="78" spans="1:6">
      <c r="A78" s="140"/>
      <c r="B78" s="82">
        <v>165</v>
      </c>
      <c r="C78" s="137" t="s">
        <v>498</v>
      </c>
      <c r="D78" s="135" t="s">
        <v>602</v>
      </c>
      <c r="E78" s="135" t="s">
        <v>603</v>
      </c>
      <c r="F78" s="135" t="s">
        <v>603</v>
      </c>
    </row>
    <row r="79" spans="1:6">
      <c r="A79" s="140"/>
      <c r="B79" s="82">
        <v>166</v>
      </c>
      <c r="C79" s="137" t="s">
        <v>498</v>
      </c>
      <c r="D79" s="135" t="s">
        <v>604</v>
      </c>
      <c r="E79" s="135" t="s">
        <v>605</v>
      </c>
      <c r="F79" s="135" t="s">
        <v>605</v>
      </c>
    </row>
    <row r="80" spans="1:6">
      <c r="A80" s="140"/>
      <c r="B80" s="82">
        <v>167</v>
      </c>
      <c r="C80" s="137" t="s">
        <v>498</v>
      </c>
      <c r="D80" s="135" t="s">
        <v>606</v>
      </c>
      <c r="E80" s="135" t="s">
        <v>607</v>
      </c>
      <c r="F80" s="135" t="s">
        <v>607</v>
      </c>
    </row>
    <row r="81" spans="1:6">
      <c r="A81" s="140"/>
      <c r="B81" s="82">
        <v>168</v>
      </c>
      <c r="C81" s="137" t="s">
        <v>498</v>
      </c>
      <c r="D81" s="135" t="s">
        <v>608</v>
      </c>
      <c r="E81" s="135" t="s">
        <v>609</v>
      </c>
      <c r="F81" s="135" t="s">
        <v>609</v>
      </c>
    </row>
    <row r="82" spans="1:6">
      <c r="B82" s="82">
        <v>169</v>
      </c>
      <c r="D82" s="84" t="s">
        <v>610</v>
      </c>
      <c r="E82" s="84" t="s">
        <v>611</v>
      </c>
      <c r="F82" s="84" t="s">
        <v>611</v>
      </c>
    </row>
    <row r="83" spans="1:6">
      <c r="B83" s="82">
        <v>170</v>
      </c>
      <c r="D83" s="84" t="s">
        <v>612</v>
      </c>
      <c r="E83" s="84" t="s">
        <v>613</v>
      </c>
      <c r="F83" s="84" t="s">
        <v>613</v>
      </c>
    </row>
    <row r="84" spans="1:6">
      <c r="B84" s="82">
        <v>171</v>
      </c>
      <c r="D84" s="84" t="s">
        <v>614</v>
      </c>
      <c r="E84" s="84" t="s">
        <v>615</v>
      </c>
      <c r="F84" s="84" t="s">
        <v>615</v>
      </c>
    </row>
    <row r="85" spans="1:6">
      <c r="B85" s="82">
        <v>172</v>
      </c>
      <c r="D85" s="84" t="s">
        <v>616</v>
      </c>
      <c r="E85" s="84" t="s">
        <v>617</v>
      </c>
      <c r="F85" s="84" t="s">
        <v>617</v>
      </c>
    </row>
    <row r="86" spans="1:6">
      <c r="B86" s="82">
        <v>173</v>
      </c>
      <c r="D86" s="84" t="s">
        <v>618</v>
      </c>
      <c r="E86" s="84" t="s">
        <v>619</v>
      </c>
      <c r="F86" s="84" t="s">
        <v>619</v>
      </c>
    </row>
    <row r="87" spans="1:6">
      <c r="B87" s="82">
        <v>174</v>
      </c>
      <c r="D87" s="84" t="s">
        <v>620</v>
      </c>
      <c r="E87" s="84" t="s">
        <v>621</v>
      </c>
      <c r="F87" s="84" t="s">
        <v>621</v>
      </c>
    </row>
    <row r="88" spans="1:6">
      <c r="B88" s="82">
        <v>175</v>
      </c>
      <c r="D88" s="84" t="s">
        <v>622</v>
      </c>
      <c r="E88" s="84" t="s">
        <v>623</v>
      </c>
      <c r="F88" s="84" t="s">
        <v>623</v>
      </c>
    </row>
    <row r="89" spans="1:6" ht="24">
      <c r="B89" s="82">
        <v>176</v>
      </c>
      <c r="D89" s="84" t="s">
        <v>624</v>
      </c>
      <c r="E89" s="84" t="s">
        <v>625</v>
      </c>
      <c r="F89" s="84" t="s">
        <v>625</v>
      </c>
    </row>
    <row r="90" spans="1:6">
      <c r="B90" s="82">
        <v>177</v>
      </c>
      <c r="D90" s="84" t="s">
        <v>626</v>
      </c>
      <c r="E90" s="84" t="s">
        <v>627</v>
      </c>
      <c r="F90" s="84" t="s">
        <v>627</v>
      </c>
    </row>
    <row r="91" spans="1:6">
      <c r="B91" s="82">
        <v>178</v>
      </c>
      <c r="D91" s="84" t="s">
        <v>628</v>
      </c>
      <c r="E91" s="84" t="s">
        <v>629</v>
      </c>
      <c r="F91" s="84" t="s">
        <v>629</v>
      </c>
    </row>
    <row r="92" spans="1:6">
      <c r="B92" s="82">
        <v>179</v>
      </c>
      <c r="D92" s="84" t="s">
        <v>630</v>
      </c>
      <c r="E92" s="84" t="s">
        <v>631</v>
      </c>
      <c r="F92" s="84" t="s">
        <v>631</v>
      </c>
    </row>
    <row r="93" spans="1:6">
      <c r="B93" s="82">
        <v>180</v>
      </c>
      <c r="D93" s="84" t="s">
        <v>632</v>
      </c>
      <c r="E93" s="84" t="s">
        <v>633</v>
      </c>
      <c r="F93" s="84" t="s">
        <v>633</v>
      </c>
    </row>
    <row r="94" spans="1:6">
      <c r="B94" s="82">
        <v>181</v>
      </c>
      <c r="C94" s="83" t="s">
        <v>502</v>
      </c>
      <c r="D94" s="84" t="s">
        <v>634</v>
      </c>
      <c r="E94" s="84" t="s">
        <v>635</v>
      </c>
      <c r="F94" s="84" t="s">
        <v>635</v>
      </c>
    </row>
    <row r="95" spans="1:6" ht="36">
      <c r="B95" s="82">
        <v>182</v>
      </c>
      <c r="C95" s="83" t="s">
        <v>502</v>
      </c>
      <c r="D95" s="84" t="s">
        <v>636</v>
      </c>
      <c r="E95" s="84" t="s">
        <v>637</v>
      </c>
      <c r="F95" s="84" t="s">
        <v>637</v>
      </c>
    </row>
    <row r="96" spans="1:6">
      <c r="B96" s="82">
        <v>183</v>
      </c>
      <c r="D96" s="84" t="s">
        <v>638</v>
      </c>
      <c r="E96" s="84" t="s">
        <v>639</v>
      </c>
      <c r="F96" s="84" t="s">
        <v>639</v>
      </c>
    </row>
    <row r="97" spans="2:6">
      <c r="B97" s="82">
        <v>184</v>
      </c>
      <c r="D97" s="84" t="s">
        <v>640</v>
      </c>
      <c r="E97" s="84" t="s">
        <v>641</v>
      </c>
      <c r="F97" s="84" t="s">
        <v>641</v>
      </c>
    </row>
    <row r="98" spans="2:6">
      <c r="B98" s="82">
        <v>185</v>
      </c>
      <c r="D98" s="84" t="s">
        <v>642</v>
      </c>
      <c r="E98" s="84" t="s">
        <v>643</v>
      </c>
      <c r="F98" s="84" t="s">
        <v>643</v>
      </c>
    </row>
    <row r="99" spans="2:6" ht="24">
      <c r="B99" s="82">
        <v>186</v>
      </c>
      <c r="D99" s="84" t="s">
        <v>644</v>
      </c>
      <c r="E99" s="84" t="s">
        <v>645</v>
      </c>
      <c r="F99" s="84" t="s">
        <v>645</v>
      </c>
    </row>
    <row r="100" spans="2:6" ht="24">
      <c r="B100" s="82">
        <v>187</v>
      </c>
      <c r="D100" s="84" t="s">
        <v>646</v>
      </c>
      <c r="E100" s="84" t="s">
        <v>647</v>
      </c>
      <c r="F100" s="84" t="s">
        <v>647</v>
      </c>
    </row>
    <row r="101" spans="2:6" ht="24">
      <c r="B101" s="82">
        <v>188</v>
      </c>
      <c r="D101" s="84" t="s">
        <v>648</v>
      </c>
      <c r="E101" s="84" t="s">
        <v>649</v>
      </c>
      <c r="F101" s="84" t="s">
        <v>649</v>
      </c>
    </row>
    <row r="102" spans="2:6">
      <c r="B102" s="82">
        <v>189</v>
      </c>
      <c r="D102" s="84" t="s">
        <v>650</v>
      </c>
      <c r="E102" s="84" t="s">
        <v>651</v>
      </c>
      <c r="F102" s="84" t="s">
        <v>651</v>
      </c>
    </row>
    <row r="103" spans="2:6">
      <c r="B103" s="82">
        <v>190</v>
      </c>
      <c r="C103" s="83" t="s">
        <v>502</v>
      </c>
      <c r="D103" s="84" t="s">
        <v>652</v>
      </c>
      <c r="E103" s="84" t="s">
        <v>653</v>
      </c>
      <c r="F103" s="84" t="s">
        <v>653</v>
      </c>
    </row>
    <row r="104" spans="2:6">
      <c r="B104" s="82">
        <v>191</v>
      </c>
      <c r="D104" s="84" t="s">
        <v>654</v>
      </c>
      <c r="E104" s="84" t="s">
        <v>655</v>
      </c>
      <c r="F104" s="84" t="s">
        <v>655</v>
      </c>
    </row>
    <row r="105" spans="2:6">
      <c r="B105" s="82">
        <v>192</v>
      </c>
      <c r="D105" s="84" t="s">
        <v>656</v>
      </c>
      <c r="E105" s="84" t="s">
        <v>657</v>
      </c>
      <c r="F105" s="84" t="s">
        <v>657</v>
      </c>
    </row>
    <row r="106" spans="2:6">
      <c r="B106" s="82">
        <v>193</v>
      </c>
      <c r="D106" s="84" t="s">
        <v>658</v>
      </c>
      <c r="E106" s="84" t="s">
        <v>659</v>
      </c>
      <c r="F106" s="84" t="s">
        <v>659</v>
      </c>
    </row>
    <row r="107" spans="2:6">
      <c r="B107" s="82">
        <v>194</v>
      </c>
      <c r="D107" s="84" t="s">
        <v>660</v>
      </c>
      <c r="E107" s="84" t="s">
        <v>661</v>
      </c>
      <c r="F107" s="84" t="s">
        <v>661</v>
      </c>
    </row>
    <row r="108" spans="2:6">
      <c r="B108" s="82">
        <v>195</v>
      </c>
      <c r="D108" s="84" t="s">
        <v>662</v>
      </c>
      <c r="E108" s="84" t="s">
        <v>663</v>
      </c>
      <c r="F108" s="84" t="s">
        <v>663</v>
      </c>
    </row>
    <row r="109" spans="2:6">
      <c r="B109" s="82">
        <v>196</v>
      </c>
      <c r="D109" s="84" t="s">
        <v>664</v>
      </c>
      <c r="E109" s="84" t="s">
        <v>665</v>
      </c>
      <c r="F109" s="84" t="s">
        <v>665</v>
      </c>
    </row>
    <row r="110" spans="2:6" ht="24">
      <c r="B110" s="82">
        <v>197</v>
      </c>
      <c r="D110" s="84" t="s">
        <v>666</v>
      </c>
      <c r="E110" s="84" t="s">
        <v>667</v>
      </c>
      <c r="F110" s="84" t="s">
        <v>667</v>
      </c>
    </row>
    <row r="111" spans="2:6" ht="24">
      <c r="B111" s="82">
        <v>198</v>
      </c>
      <c r="D111" s="84" t="s">
        <v>668</v>
      </c>
      <c r="E111" s="84" t="s">
        <v>669</v>
      </c>
      <c r="F111" s="84" t="s">
        <v>669</v>
      </c>
    </row>
    <row r="112" spans="2:6">
      <c r="B112" s="82">
        <v>199</v>
      </c>
      <c r="D112" s="84" t="s">
        <v>670</v>
      </c>
      <c r="E112" s="84" t="s">
        <v>671</v>
      </c>
      <c r="F112" s="84" t="s">
        <v>671</v>
      </c>
    </row>
    <row r="113" spans="2:6">
      <c r="B113" s="82">
        <v>200</v>
      </c>
      <c r="D113" s="84" t="s">
        <v>672</v>
      </c>
      <c r="E113" s="84" t="s">
        <v>673</v>
      </c>
      <c r="F113" s="84" t="s">
        <v>673</v>
      </c>
    </row>
    <row r="114" spans="2:6">
      <c r="B114" s="82">
        <v>201</v>
      </c>
      <c r="D114" s="84" t="s">
        <v>674</v>
      </c>
      <c r="E114" s="84" t="s">
        <v>675</v>
      </c>
      <c r="F114" s="84" t="s">
        <v>675</v>
      </c>
    </row>
    <row r="115" spans="2:6">
      <c r="B115" s="82">
        <v>202</v>
      </c>
      <c r="D115" s="84" t="s">
        <v>676</v>
      </c>
      <c r="E115" s="84" t="s">
        <v>677</v>
      </c>
      <c r="F115" s="84" t="s">
        <v>677</v>
      </c>
    </row>
    <row r="116" spans="2:6">
      <c r="B116" s="82">
        <v>203</v>
      </c>
      <c r="D116" s="84" t="s">
        <v>678</v>
      </c>
      <c r="E116" s="84" t="s">
        <v>679</v>
      </c>
      <c r="F116" s="84" t="s">
        <v>679</v>
      </c>
    </row>
    <row r="117" spans="2:6">
      <c r="B117" s="82">
        <v>204</v>
      </c>
      <c r="D117" s="84" t="s">
        <v>680</v>
      </c>
      <c r="E117" s="84" t="s">
        <v>681</v>
      </c>
      <c r="F117" s="84" t="s">
        <v>681</v>
      </c>
    </row>
    <row r="118" spans="2:6">
      <c r="B118" s="82">
        <v>205</v>
      </c>
      <c r="D118" s="84" t="s">
        <v>682</v>
      </c>
      <c r="E118" s="84" t="s">
        <v>683</v>
      </c>
      <c r="F118" s="84" t="s">
        <v>683</v>
      </c>
    </row>
    <row r="119" spans="2:6">
      <c r="B119" s="82">
        <v>206</v>
      </c>
      <c r="D119" s="84" t="s">
        <v>684</v>
      </c>
      <c r="E119" s="84" t="s">
        <v>685</v>
      </c>
      <c r="F119" s="84" t="s">
        <v>685</v>
      </c>
    </row>
    <row r="120" spans="2:6">
      <c r="B120" s="82">
        <v>207</v>
      </c>
      <c r="D120" s="84" t="s">
        <v>686</v>
      </c>
      <c r="E120" s="84" t="s">
        <v>687</v>
      </c>
      <c r="F120" s="84" t="s">
        <v>687</v>
      </c>
    </row>
    <row r="121" spans="2:6" ht="24">
      <c r="B121" s="82">
        <v>208</v>
      </c>
      <c r="D121" s="84" t="s">
        <v>688</v>
      </c>
      <c r="E121" s="84" t="s">
        <v>689</v>
      </c>
      <c r="F121" s="84" t="s">
        <v>689</v>
      </c>
    </row>
    <row r="122" spans="2:6" ht="24">
      <c r="B122" s="82">
        <v>209</v>
      </c>
      <c r="D122" s="84" t="s">
        <v>690</v>
      </c>
      <c r="E122" s="84" t="s">
        <v>691</v>
      </c>
      <c r="F122" s="84" t="s">
        <v>691</v>
      </c>
    </row>
    <row r="123" spans="2:6">
      <c r="B123" s="82">
        <v>210</v>
      </c>
      <c r="D123" s="84" t="s">
        <v>692</v>
      </c>
      <c r="E123" s="84" t="s">
        <v>693</v>
      </c>
      <c r="F123" s="84" t="s">
        <v>693</v>
      </c>
    </row>
    <row r="124" spans="2:6">
      <c r="B124" s="82">
        <v>211</v>
      </c>
      <c r="D124" s="84" t="s">
        <v>694</v>
      </c>
      <c r="E124" s="84" t="s">
        <v>694</v>
      </c>
      <c r="F124" s="84" t="s">
        <v>694</v>
      </c>
    </row>
    <row r="125" spans="2:6">
      <c r="B125" s="82">
        <v>212</v>
      </c>
      <c r="D125" s="84" t="s">
        <v>695</v>
      </c>
      <c r="E125" s="84" t="s">
        <v>696</v>
      </c>
      <c r="F125" s="84" t="s">
        <v>696</v>
      </c>
    </row>
    <row r="126" spans="2:6">
      <c r="B126" s="82">
        <v>213</v>
      </c>
      <c r="D126" s="84" t="s">
        <v>697</v>
      </c>
      <c r="E126" s="84" t="s">
        <v>698</v>
      </c>
      <c r="F126" s="84" t="s">
        <v>698</v>
      </c>
    </row>
    <row r="127" spans="2:6">
      <c r="B127" s="82">
        <v>214</v>
      </c>
      <c r="D127" s="84" t="s">
        <v>699</v>
      </c>
      <c r="E127" s="84" t="s">
        <v>700</v>
      </c>
      <c r="F127" s="84" t="s">
        <v>700</v>
      </c>
    </row>
    <row r="128" spans="2:6">
      <c r="B128" s="82">
        <v>215</v>
      </c>
      <c r="D128" s="84" t="s">
        <v>701</v>
      </c>
      <c r="E128" s="84" t="s">
        <v>702</v>
      </c>
      <c r="F128" s="84" t="s">
        <v>702</v>
      </c>
    </row>
    <row r="129" spans="2:6">
      <c r="B129" s="82">
        <v>216</v>
      </c>
      <c r="D129" s="84" t="s">
        <v>703</v>
      </c>
      <c r="E129" s="84" t="s">
        <v>704</v>
      </c>
      <c r="F129" s="84" t="s">
        <v>704</v>
      </c>
    </row>
    <row r="130" spans="2:6">
      <c r="B130" s="82">
        <v>217</v>
      </c>
      <c r="D130" s="84" t="s">
        <v>705</v>
      </c>
      <c r="E130" s="84" t="s">
        <v>706</v>
      </c>
      <c r="F130" s="84" t="s">
        <v>706</v>
      </c>
    </row>
    <row r="131" spans="2:6">
      <c r="B131" s="82">
        <v>218</v>
      </c>
      <c r="D131" s="84" t="s">
        <v>707</v>
      </c>
      <c r="E131" s="84" t="s">
        <v>708</v>
      </c>
      <c r="F131" s="84" t="s">
        <v>708</v>
      </c>
    </row>
    <row r="132" spans="2:6">
      <c r="B132" s="82">
        <v>219</v>
      </c>
      <c r="D132" s="84" t="s">
        <v>709</v>
      </c>
      <c r="E132" s="84" t="s">
        <v>710</v>
      </c>
      <c r="F132" s="84" t="s">
        <v>710</v>
      </c>
    </row>
    <row r="133" spans="2:6">
      <c r="B133" s="82">
        <v>220</v>
      </c>
      <c r="D133" s="84" t="s">
        <v>711</v>
      </c>
      <c r="E133" s="84" t="s">
        <v>712</v>
      </c>
      <c r="F133" s="84" t="s">
        <v>712</v>
      </c>
    </row>
    <row r="134" spans="2:6">
      <c r="B134" s="82">
        <v>221</v>
      </c>
      <c r="D134" s="84" t="s">
        <v>713</v>
      </c>
      <c r="E134" s="84" t="s">
        <v>714</v>
      </c>
      <c r="F134" s="84" t="s">
        <v>714</v>
      </c>
    </row>
    <row r="135" spans="2:6">
      <c r="B135" s="82">
        <v>222</v>
      </c>
      <c r="D135" s="84" t="s">
        <v>715</v>
      </c>
      <c r="E135" s="84" t="s">
        <v>716</v>
      </c>
      <c r="F135" s="84" t="s">
        <v>716</v>
      </c>
    </row>
    <row r="136" spans="2:6">
      <c r="B136" s="82">
        <v>223</v>
      </c>
      <c r="D136" s="84" t="s">
        <v>717</v>
      </c>
      <c r="E136" s="84" t="s">
        <v>718</v>
      </c>
      <c r="F136" s="84" t="s">
        <v>718</v>
      </c>
    </row>
    <row r="137" spans="2:6">
      <c r="B137" s="82">
        <v>224</v>
      </c>
      <c r="C137" s="83" t="s">
        <v>557</v>
      </c>
      <c r="D137" s="84" t="s">
        <v>719</v>
      </c>
      <c r="E137" s="84" t="s">
        <v>720</v>
      </c>
      <c r="F137" s="84" t="s">
        <v>720</v>
      </c>
    </row>
    <row r="138" spans="2:6">
      <c r="B138" s="82">
        <v>225</v>
      </c>
      <c r="D138" s="84" t="s">
        <v>721</v>
      </c>
      <c r="E138" s="84" t="s">
        <v>722</v>
      </c>
      <c r="F138" s="84" t="s">
        <v>722</v>
      </c>
    </row>
    <row r="139" spans="2:6">
      <c r="B139" s="82">
        <v>226</v>
      </c>
      <c r="D139" s="84" t="s">
        <v>723</v>
      </c>
      <c r="E139" s="84" t="s">
        <v>724</v>
      </c>
      <c r="F139" s="84" t="s">
        <v>724</v>
      </c>
    </row>
    <row r="140" spans="2:6">
      <c r="B140" s="82">
        <v>227</v>
      </c>
      <c r="D140" s="84" t="s">
        <v>725</v>
      </c>
      <c r="E140" s="84" t="s">
        <v>726</v>
      </c>
      <c r="F140" s="84" t="s">
        <v>726</v>
      </c>
    </row>
    <row r="141" spans="2:6">
      <c r="B141" s="82">
        <v>228</v>
      </c>
      <c r="D141" s="84" t="s">
        <v>727</v>
      </c>
      <c r="E141" s="84" t="s">
        <v>728</v>
      </c>
      <c r="F141" s="84" t="s">
        <v>728</v>
      </c>
    </row>
    <row r="142" spans="2:6">
      <c r="B142" s="82">
        <v>229</v>
      </c>
      <c r="D142" s="84" t="s">
        <v>729</v>
      </c>
      <c r="E142" s="84" t="s">
        <v>730</v>
      </c>
      <c r="F142" s="84" t="s">
        <v>730</v>
      </c>
    </row>
    <row r="143" spans="2:6">
      <c r="B143" s="82">
        <v>230</v>
      </c>
      <c r="D143" s="84" t="s">
        <v>731</v>
      </c>
      <c r="E143" s="84" t="s">
        <v>732</v>
      </c>
      <c r="F143" s="84" t="s">
        <v>732</v>
      </c>
    </row>
    <row r="144" spans="2:6">
      <c r="B144" s="82">
        <v>231</v>
      </c>
      <c r="D144" s="84" t="s">
        <v>733</v>
      </c>
      <c r="E144" s="84" t="s">
        <v>734</v>
      </c>
      <c r="F144" s="84" t="s">
        <v>734</v>
      </c>
    </row>
    <row r="145" spans="2:6">
      <c r="B145" s="82">
        <v>232</v>
      </c>
      <c r="D145" s="84" t="s">
        <v>735</v>
      </c>
      <c r="E145" s="84" t="s">
        <v>736</v>
      </c>
      <c r="F145" s="84" t="s">
        <v>736</v>
      </c>
    </row>
    <row r="146" spans="2:6">
      <c r="B146" s="82">
        <v>233</v>
      </c>
      <c r="D146" s="84" t="s">
        <v>737</v>
      </c>
      <c r="E146" s="84" t="s">
        <v>738</v>
      </c>
      <c r="F146" s="84" t="s">
        <v>738</v>
      </c>
    </row>
    <row r="147" spans="2:6">
      <c r="B147" s="82">
        <v>234</v>
      </c>
      <c r="D147" s="84" t="s">
        <v>739</v>
      </c>
      <c r="E147" s="84" t="s">
        <v>740</v>
      </c>
      <c r="F147" s="84" t="s">
        <v>740</v>
      </c>
    </row>
    <row r="148" spans="2:6">
      <c r="B148" s="82">
        <v>235</v>
      </c>
      <c r="D148" s="84" t="s">
        <v>741</v>
      </c>
      <c r="E148" s="84" t="s">
        <v>742</v>
      </c>
      <c r="F148" s="84" t="s">
        <v>742</v>
      </c>
    </row>
    <row r="149" spans="2:6">
      <c r="B149" s="82">
        <v>236</v>
      </c>
      <c r="D149" s="84" t="s">
        <v>743</v>
      </c>
      <c r="E149" s="84" t="s">
        <v>744</v>
      </c>
      <c r="F149" s="84" t="s">
        <v>744</v>
      </c>
    </row>
    <row r="150" spans="2:6">
      <c r="B150" s="82">
        <v>237</v>
      </c>
      <c r="D150" s="84" t="s">
        <v>745</v>
      </c>
      <c r="E150" s="84" t="s">
        <v>746</v>
      </c>
      <c r="F150" s="84" t="s">
        <v>746</v>
      </c>
    </row>
    <row r="151" spans="2:6">
      <c r="B151" s="82">
        <v>238</v>
      </c>
      <c r="D151" s="84" t="s">
        <v>747</v>
      </c>
      <c r="E151" s="84" t="s">
        <v>748</v>
      </c>
      <c r="F151" s="84" t="s">
        <v>748</v>
      </c>
    </row>
    <row r="152" spans="2:6">
      <c r="B152" s="82">
        <v>239</v>
      </c>
      <c r="D152" s="84" t="s">
        <v>749</v>
      </c>
      <c r="E152" s="84" t="s">
        <v>750</v>
      </c>
      <c r="F152" s="84" t="s">
        <v>750</v>
      </c>
    </row>
    <row r="153" spans="2:6">
      <c r="B153" s="82">
        <v>240</v>
      </c>
      <c r="D153" s="84" t="s">
        <v>751</v>
      </c>
      <c r="E153" s="84" t="s">
        <v>752</v>
      </c>
      <c r="F153" s="84" t="s">
        <v>752</v>
      </c>
    </row>
    <row r="154" spans="2:6">
      <c r="B154" s="82">
        <v>241</v>
      </c>
      <c r="D154" s="84" t="s">
        <v>753</v>
      </c>
      <c r="E154" s="84" t="s">
        <v>754</v>
      </c>
      <c r="F154" s="84" t="s">
        <v>754</v>
      </c>
    </row>
    <row r="155" spans="2:6">
      <c r="B155" s="82">
        <v>242</v>
      </c>
      <c r="D155" s="84" t="s">
        <v>755</v>
      </c>
      <c r="E155" s="84" t="s">
        <v>756</v>
      </c>
      <c r="F155" s="84" t="s">
        <v>756</v>
      </c>
    </row>
    <row r="156" spans="2:6">
      <c r="B156" s="82">
        <v>243</v>
      </c>
      <c r="D156" s="84" t="s">
        <v>757</v>
      </c>
      <c r="E156" s="84" t="s">
        <v>758</v>
      </c>
      <c r="F156" s="84" t="s">
        <v>758</v>
      </c>
    </row>
    <row r="157" spans="2:6">
      <c r="B157" s="82">
        <v>244</v>
      </c>
      <c r="D157" s="84" t="s">
        <v>759</v>
      </c>
      <c r="E157" s="84" t="s">
        <v>760</v>
      </c>
      <c r="F157" s="84" t="s">
        <v>760</v>
      </c>
    </row>
    <row r="158" spans="2:6">
      <c r="B158" s="82">
        <v>245</v>
      </c>
      <c r="D158" s="84" t="s">
        <v>761</v>
      </c>
      <c r="E158" s="84" t="s">
        <v>762</v>
      </c>
      <c r="F158" s="84" t="s">
        <v>762</v>
      </c>
    </row>
    <row r="159" spans="2:6">
      <c r="B159" s="82">
        <v>246</v>
      </c>
      <c r="D159" s="84" t="s">
        <v>763</v>
      </c>
      <c r="E159" s="84" t="s">
        <v>764</v>
      </c>
      <c r="F159" s="84" t="s">
        <v>764</v>
      </c>
    </row>
    <row r="160" spans="2:6">
      <c r="B160" s="82">
        <v>247</v>
      </c>
      <c r="D160" s="84" t="s">
        <v>765</v>
      </c>
      <c r="E160" s="84" t="s">
        <v>766</v>
      </c>
      <c r="F160" s="84" t="s">
        <v>766</v>
      </c>
    </row>
    <row r="161" spans="2:6">
      <c r="B161" s="82">
        <v>248</v>
      </c>
      <c r="D161" s="84" t="s">
        <v>767</v>
      </c>
      <c r="E161" s="84" t="s">
        <v>768</v>
      </c>
      <c r="F161" s="84" t="s">
        <v>768</v>
      </c>
    </row>
    <row r="162" spans="2:6">
      <c r="B162" s="82">
        <v>249</v>
      </c>
      <c r="D162" s="84" t="s">
        <v>769</v>
      </c>
      <c r="E162" s="84" t="s">
        <v>770</v>
      </c>
      <c r="F162" s="84" t="s">
        <v>770</v>
      </c>
    </row>
    <row r="163" spans="2:6">
      <c r="B163" s="82">
        <v>250</v>
      </c>
      <c r="D163" s="84" t="s">
        <v>771</v>
      </c>
      <c r="E163" s="84" t="s">
        <v>772</v>
      </c>
      <c r="F163" s="84" t="s">
        <v>772</v>
      </c>
    </row>
    <row r="164" spans="2:6">
      <c r="B164" s="82">
        <v>251</v>
      </c>
      <c r="D164" s="84" t="s">
        <v>773</v>
      </c>
      <c r="E164" s="84" t="s">
        <v>774</v>
      </c>
      <c r="F164" s="84" t="s">
        <v>774</v>
      </c>
    </row>
    <row r="165" spans="2:6">
      <c r="B165" s="82">
        <v>252</v>
      </c>
      <c r="D165" s="84" t="s">
        <v>775</v>
      </c>
      <c r="E165" s="84" t="s">
        <v>776</v>
      </c>
      <c r="F165" s="84" t="s">
        <v>776</v>
      </c>
    </row>
    <row r="166" spans="2:6">
      <c r="B166" s="82">
        <v>253</v>
      </c>
      <c r="D166" s="84" t="s">
        <v>777</v>
      </c>
      <c r="E166" s="84" t="s">
        <v>778</v>
      </c>
      <c r="F166" s="84" t="s">
        <v>778</v>
      </c>
    </row>
    <row r="167" spans="2:6">
      <c r="B167" s="82">
        <v>254</v>
      </c>
      <c r="D167" s="84" t="s">
        <v>779</v>
      </c>
      <c r="E167" s="84" t="s">
        <v>780</v>
      </c>
      <c r="F167" s="84" t="s">
        <v>780</v>
      </c>
    </row>
    <row r="168" spans="2:6">
      <c r="B168" s="82">
        <v>255</v>
      </c>
      <c r="C168" s="83" t="s">
        <v>557</v>
      </c>
      <c r="D168" s="84" t="s">
        <v>781</v>
      </c>
      <c r="E168" s="84" t="s">
        <v>782</v>
      </c>
      <c r="F168" s="84" t="s">
        <v>782</v>
      </c>
    </row>
    <row r="169" spans="2:6">
      <c r="B169" s="82">
        <v>256</v>
      </c>
      <c r="D169" s="84" t="s">
        <v>783</v>
      </c>
      <c r="E169" s="84" t="s">
        <v>784</v>
      </c>
      <c r="F169" s="84" t="s">
        <v>784</v>
      </c>
    </row>
    <row r="170" spans="2:6">
      <c r="B170" s="82">
        <v>257</v>
      </c>
      <c r="D170" s="84" t="s">
        <v>785</v>
      </c>
      <c r="E170" s="84" t="s">
        <v>786</v>
      </c>
      <c r="F170" s="84" t="s">
        <v>786</v>
      </c>
    </row>
    <row r="171" spans="2:6">
      <c r="B171" s="82">
        <v>258</v>
      </c>
      <c r="D171" s="84" t="s">
        <v>787</v>
      </c>
      <c r="E171" s="84" t="s">
        <v>788</v>
      </c>
      <c r="F171" s="84" t="s">
        <v>788</v>
      </c>
    </row>
    <row r="172" spans="2:6">
      <c r="B172" s="82">
        <v>259</v>
      </c>
      <c r="D172" s="84" t="s">
        <v>789</v>
      </c>
      <c r="E172" s="84" t="s">
        <v>790</v>
      </c>
      <c r="F172" s="84" t="s">
        <v>790</v>
      </c>
    </row>
    <row r="173" spans="2:6">
      <c r="B173" s="82">
        <v>260</v>
      </c>
      <c r="D173" s="84" t="s">
        <v>791</v>
      </c>
      <c r="E173" s="84" t="s">
        <v>792</v>
      </c>
      <c r="F173" s="84" t="s">
        <v>792</v>
      </c>
    </row>
    <row r="174" spans="2:6">
      <c r="B174" s="82">
        <v>261</v>
      </c>
      <c r="D174" s="84" t="s">
        <v>793</v>
      </c>
      <c r="E174" s="84" t="s">
        <v>794</v>
      </c>
      <c r="F174" s="84" t="s">
        <v>794</v>
      </c>
    </row>
    <row r="175" spans="2:6" ht="24">
      <c r="B175" s="82">
        <v>262</v>
      </c>
      <c r="D175" s="84" t="s">
        <v>795</v>
      </c>
      <c r="E175" s="84" t="s">
        <v>796</v>
      </c>
      <c r="F175" s="84" t="s">
        <v>796</v>
      </c>
    </row>
    <row r="176" spans="2:6" ht="24">
      <c r="B176" s="82">
        <v>263</v>
      </c>
      <c r="D176" s="84" t="s">
        <v>797</v>
      </c>
      <c r="E176" s="84" t="s">
        <v>798</v>
      </c>
      <c r="F176" s="84" t="s">
        <v>798</v>
      </c>
    </row>
    <row r="177" spans="2:6">
      <c r="B177" s="82">
        <v>264</v>
      </c>
      <c r="D177" s="84" t="s">
        <v>799</v>
      </c>
      <c r="E177" s="84" t="s">
        <v>800</v>
      </c>
      <c r="F177" s="84" t="s">
        <v>800</v>
      </c>
    </row>
    <row r="178" spans="2:6">
      <c r="B178" s="82">
        <v>265</v>
      </c>
      <c r="D178" s="84" t="s">
        <v>801</v>
      </c>
      <c r="E178" s="84" t="s">
        <v>802</v>
      </c>
      <c r="F178" s="84" t="s">
        <v>802</v>
      </c>
    </row>
    <row r="179" spans="2:6">
      <c r="B179" s="82">
        <v>266</v>
      </c>
      <c r="D179" s="84" t="s">
        <v>803</v>
      </c>
      <c r="E179" s="84" t="s">
        <v>804</v>
      </c>
      <c r="F179" s="84" t="s">
        <v>804</v>
      </c>
    </row>
    <row r="180" spans="2:6">
      <c r="B180" s="82">
        <v>267</v>
      </c>
      <c r="D180" s="84" t="s">
        <v>805</v>
      </c>
      <c r="E180" s="84" t="s">
        <v>806</v>
      </c>
      <c r="F180" s="84" t="s">
        <v>806</v>
      </c>
    </row>
    <row r="181" spans="2:6">
      <c r="B181" s="82">
        <v>268</v>
      </c>
      <c r="D181" s="84" t="s">
        <v>807</v>
      </c>
      <c r="E181" s="84" t="s">
        <v>808</v>
      </c>
      <c r="F181" s="84" t="s">
        <v>808</v>
      </c>
    </row>
    <row r="182" spans="2:6">
      <c r="B182" s="82">
        <v>269</v>
      </c>
      <c r="D182" s="84" t="s">
        <v>809</v>
      </c>
      <c r="E182" s="84" t="s">
        <v>810</v>
      </c>
      <c r="F182" s="84" t="s">
        <v>810</v>
      </c>
    </row>
    <row r="183" spans="2:6">
      <c r="B183" s="82">
        <v>270</v>
      </c>
      <c r="D183" s="84" t="s">
        <v>811</v>
      </c>
      <c r="E183" s="84" t="s">
        <v>812</v>
      </c>
      <c r="F183" s="84" t="s">
        <v>812</v>
      </c>
    </row>
    <row r="184" spans="2:6" ht="24">
      <c r="B184" s="82">
        <v>271</v>
      </c>
      <c r="D184" s="84" t="s">
        <v>813</v>
      </c>
      <c r="E184" s="84" t="s">
        <v>814</v>
      </c>
      <c r="F184" s="84" t="s">
        <v>814</v>
      </c>
    </row>
    <row r="185" spans="2:6" ht="36">
      <c r="B185" s="82">
        <v>272</v>
      </c>
      <c r="D185" s="84" t="s">
        <v>815</v>
      </c>
      <c r="E185" s="84" t="s">
        <v>816</v>
      </c>
      <c r="F185" s="84" t="s">
        <v>816</v>
      </c>
    </row>
    <row r="186" spans="2:6">
      <c r="B186" s="82">
        <v>273</v>
      </c>
      <c r="D186" s="84" t="s">
        <v>817</v>
      </c>
      <c r="E186" s="84" t="s">
        <v>818</v>
      </c>
      <c r="F186" s="84" t="s">
        <v>818</v>
      </c>
    </row>
    <row r="187" spans="2:6">
      <c r="B187" s="82">
        <v>274</v>
      </c>
      <c r="D187" s="84" t="s">
        <v>819</v>
      </c>
      <c r="E187" s="84" t="s">
        <v>820</v>
      </c>
      <c r="F187" s="84" t="s">
        <v>820</v>
      </c>
    </row>
    <row r="188" spans="2:6">
      <c r="B188" s="82">
        <v>275</v>
      </c>
      <c r="D188" s="84" t="s">
        <v>821</v>
      </c>
      <c r="E188" s="84" t="s">
        <v>822</v>
      </c>
      <c r="F188" s="84" t="s">
        <v>822</v>
      </c>
    </row>
    <row r="189" spans="2:6">
      <c r="B189" s="82">
        <v>276</v>
      </c>
      <c r="D189" s="84" t="s">
        <v>823</v>
      </c>
      <c r="E189" s="84" t="s">
        <v>824</v>
      </c>
      <c r="F189" s="84" t="s">
        <v>824</v>
      </c>
    </row>
    <row r="190" spans="2:6">
      <c r="B190" s="82">
        <v>277</v>
      </c>
      <c r="D190" s="84" t="s">
        <v>825</v>
      </c>
      <c r="E190" s="84" t="s">
        <v>826</v>
      </c>
      <c r="F190" s="84" t="s">
        <v>826</v>
      </c>
    </row>
    <row r="191" spans="2:6">
      <c r="B191" s="82">
        <v>278</v>
      </c>
      <c r="D191" s="84" t="s">
        <v>827</v>
      </c>
      <c r="E191" s="84" t="s">
        <v>828</v>
      </c>
      <c r="F191" s="84" t="s">
        <v>828</v>
      </c>
    </row>
    <row r="192" spans="2:6">
      <c r="B192" s="82">
        <v>279</v>
      </c>
      <c r="D192" s="84" t="s">
        <v>829</v>
      </c>
      <c r="E192" s="84" t="s">
        <v>830</v>
      </c>
      <c r="F192" s="84" t="s">
        <v>830</v>
      </c>
    </row>
    <row r="193" spans="2:6">
      <c r="B193" s="82">
        <v>280</v>
      </c>
      <c r="D193" s="84" t="s">
        <v>831</v>
      </c>
      <c r="E193" s="84" t="s">
        <v>424</v>
      </c>
      <c r="F193" s="84" t="s">
        <v>424</v>
      </c>
    </row>
    <row r="194" spans="2:6">
      <c r="B194" s="82">
        <v>281</v>
      </c>
      <c r="D194" s="84" t="s">
        <v>832</v>
      </c>
      <c r="E194" s="84" t="s">
        <v>833</v>
      </c>
      <c r="F194" s="84" t="s">
        <v>833</v>
      </c>
    </row>
    <row r="195" spans="2:6">
      <c r="B195" s="82">
        <v>282</v>
      </c>
      <c r="D195" s="84" t="s">
        <v>834</v>
      </c>
      <c r="E195" s="84" t="s">
        <v>835</v>
      </c>
      <c r="F195" s="84" t="s">
        <v>835</v>
      </c>
    </row>
    <row r="196" spans="2:6">
      <c r="B196" s="82">
        <v>283</v>
      </c>
      <c r="D196" s="84" t="s">
        <v>836</v>
      </c>
      <c r="E196" s="84" t="s">
        <v>837</v>
      </c>
      <c r="F196" s="84" t="s">
        <v>837</v>
      </c>
    </row>
    <row r="197" spans="2:6" ht="24">
      <c r="B197" s="82">
        <v>284</v>
      </c>
      <c r="D197" s="84" t="s">
        <v>838</v>
      </c>
      <c r="E197" s="84" t="s">
        <v>839</v>
      </c>
      <c r="F197" s="84" t="s">
        <v>839</v>
      </c>
    </row>
    <row r="198" spans="2:6">
      <c r="B198" s="82">
        <v>285</v>
      </c>
      <c r="D198" s="84" t="s">
        <v>840</v>
      </c>
      <c r="E198" s="84" t="s">
        <v>841</v>
      </c>
      <c r="F198" s="84" t="s">
        <v>841</v>
      </c>
    </row>
    <row r="199" spans="2:6">
      <c r="B199" s="82">
        <v>286</v>
      </c>
      <c r="D199" s="84" t="s">
        <v>842</v>
      </c>
      <c r="E199" s="84" t="s">
        <v>843</v>
      </c>
      <c r="F199" s="84" t="s">
        <v>843</v>
      </c>
    </row>
    <row r="200" spans="2:6">
      <c r="B200" s="82">
        <v>287</v>
      </c>
      <c r="D200" s="84" t="s">
        <v>844</v>
      </c>
      <c r="E200" s="84" t="s">
        <v>845</v>
      </c>
      <c r="F200" s="84" t="s">
        <v>845</v>
      </c>
    </row>
    <row r="201" spans="2:6">
      <c r="B201" s="82">
        <v>288</v>
      </c>
      <c r="D201" s="84" t="s">
        <v>846</v>
      </c>
      <c r="E201" s="84" t="s">
        <v>847</v>
      </c>
      <c r="F201" s="84" t="s">
        <v>847</v>
      </c>
    </row>
    <row r="202" spans="2:6">
      <c r="B202" s="82">
        <v>289</v>
      </c>
      <c r="D202" s="84" t="s">
        <v>848</v>
      </c>
      <c r="E202" s="84" t="s">
        <v>849</v>
      </c>
      <c r="F202" s="84" t="s">
        <v>849</v>
      </c>
    </row>
    <row r="203" spans="2:6">
      <c r="B203" s="82">
        <v>290</v>
      </c>
      <c r="D203" s="84" t="s">
        <v>850</v>
      </c>
      <c r="E203" s="84" t="s">
        <v>851</v>
      </c>
      <c r="F203" s="84" t="s">
        <v>851</v>
      </c>
    </row>
    <row r="204" spans="2:6">
      <c r="B204" s="82">
        <v>291</v>
      </c>
      <c r="D204" s="84" t="s">
        <v>852</v>
      </c>
      <c r="E204" s="84" t="s">
        <v>853</v>
      </c>
      <c r="F204" s="84" t="s">
        <v>853</v>
      </c>
    </row>
    <row r="205" spans="2:6">
      <c r="B205" s="82">
        <v>292</v>
      </c>
      <c r="D205" s="84" t="s">
        <v>854</v>
      </c>
      <c r="E205" s="84" t="s">
        <v>855</v>
      </c>
      <c r="F205" s="84" t="s">
        <v>855</v>
      </c>
    </row>
    <row r="206" spans="2:6">
      <c r="B206" s="82">
        <v>293</v>
      </c>
      <c r="D206" s="84" t="s">
        <v>856</v>
      </c>
      <c r="E206" s="84" t="s">
        <v>857</v>
      </c>
      <c r="F206" s="84" t="s">
        <v>857</v>
      </c>
    </row>
    <row r="207" spans="2:6">
      <c r="B207" s="82">
        <v>294</v>
      </c>
      <c r="D207" s="84" t="s">
        <v>858</v>
      </c>
      <c r="E207" s="84" t="s">
        <v>859</v>
      </c>
      <c r="F207" s="84" t="s">
        <v>859</v>
      </c>
    </row>
    <row r="208" spans="2:6">
      <c r="B208" s="82">
        <v>295</v>
      </c>
      <c r="D208" s="84" t="s">
        <v>860</v>
      </c>
      <c r="E208" s="84" t="s">
        <v>861</v>
      </c>
      <c r="F208" s="84" t="s">
        <v>861</v>
      </c>
    </row>
    <row r="209" spans="2:6">
      <c r="B209" s="82">
        <v>296</v>
      </c>
      <c r="D209" s="84" t="s">
        <v>862</v>
      </c>
      <c r="E209" s="84" t="s">
        <v>863</v>
      </c>
      <c r="F209" s="84" t="s">
        <v>863</v>
      </c>
    </row>
    <row r="210" spans="2:6">
      <c r="B210" s="82">
        <v>297</v>
      </c>
      <c r="D210" s="84" t="s">
        <v>864</v>
      </c>
      <c r="E210" s="84" t="s">
        <v>865</v>
      </c>
      <c r="F210" s="84" t="s">
        <v>865</v>
      </c>
    </row>
    <row r="211" spans="2:6">
      <c r="B211" s="82">
        <v>298</v>
      </c>
      <c r="C211" s="83" t="s">
        <v>502</v>
      </c>
      <c r="D211" s="84" t="s">
        <v>866</v>
      </c>
      <c r="E211" s="84" t="s">
        <v>867</v>
      </c>
      <c r="F211" s="84" t="s">
        <v>867</v>
      </c>
    </row>
    <row r="212" spans="2:6">
      <c r="B212" s="82">
        <v>299</v>
      </c>
      <c r="D212" s="84" t="s">
        <v>868</v>
      </c>
      <c r="E212" s="84" t="s">
        <v>869</v>
      </c>
      <c r="F212" s="84" t="s">
        <v>869</v>
      </c>
    </row>
    <row r="213" spans="2:6">
      <c r="B213" s="82">
        <v>300</v>
      </c>
      <c r="D213" s="84" t="s">
        <v>870</v>
      </c>
      <c r="E213" s="84" t="s">
        <v>871</v>
      </c>
      <c r="F213" s="84" t="s">
        <v>871</v>
      </c>
    </row>
    <row r="214" spans="2:6">
      <c r="B214" s="82">
        <v>301</v>
      </c>
      <c r="D214" s="84" t="s">
        <v>872</v>
      </c>
      <c r="E214" s="84" t="s">
        <v>873</v>
      </c>
      <c r="F214" s="84" t="s">
        <v>873</v>
      </c>
    </row>
    <row r="215" spans="2:6">
      <c r="B215" s="82">
        <v>302</v>
      </c>
      <c r="C215" s="83" t="s">
        <v>502</v>
      </c>
      <c r="D215" s="139" t="s">
        <v>874</v>
      </c>
      <c r="E215" s="139" t="s">
        <v>149</v>
      </c>
      <c r="F215" s="139" t="s">
        <v>149</v>
      </c>
    </row>
    <row r="216" spans="2:6">
      <c r="B216" s="82">
        <v>303</v>
      </c>
      <c r="C216" s="83" t="s">
        <v>502</v>
      </c>
      <c r="D216" s="139" t="s">
        <v>875</v>
      </c>
      <c r="E216" s="139" t="s">
        <v>876</v>
      </c>
      <c r="F216" s="139" t="s">
        <v>876</v>
      </c>
    </row>
    <row r="217" spans="2:6">
      <c r="B217" s="82">
        <v>304</v>
      </c>
      <c r="C217" s="83" t="s">
        <v>502</v>
      </c>
      <c r="D217" s="139" t="s">
        <v>877</v>
      </c>
      <c r="E217" s="139" t="s">
        <v>878</v>
      </c>
      <c r="F217" s="139" t="s">
        <v>878</v>
      </c>
    </row>
    <row r="218" spans="2:6">
      <c r="B218" s="82">
        <v>305</v>
      </c>
      <c r="C218" s="83" t="s">
        <v>502</v>
      </c>
      <c r="D218" s="139" t="s">
        <v>879</v>
      </c>
      <c r="E218" s="139" t="s">
        <v>880</v>
      </c>
      <c r="F218" s="139" t="s">
        <v>880</v>
      </c>
    </row>
    <row r="219" spans="2:6">
      <c r="B219" s="82">
        <v>305</v>
      </c>
      <c r="C219" s="83" t="s">
        <v>502</v>
      </c>
      <c r="D219" s="139" t="s">
        <v>881</v>
      </c>
      <c r="E219" s="139" t="s">
        <v>882</v>
      </c>
      <c r="F219" s="139" t="s">
        <v>882</v>
      </c>
    </row>
    <row r="220" spans="2:6">
      <c r="B220" s="82">
        <v>306</v>
      </c>
      <c r="C220" s="83" t="s">
        <v>502</v>
      </c>
      <c r="D220" s="139" t="s">
        <v>883</v>
      </c>
      <c r="E220" s="139" t="s">
        <v>884</v>
      </c>
      <c r="F220" s="139" t="s">
        <v>884</v>
      </c>
    </row>
    <row r="221" spans="2:6">
      <c r="B221" s="82">
        <v>307</v>
      </c>
      <c r="C221" s="83" t="s">
        <v>502</v>
      </c>
      <c r="D221" s="139" t="s">
        <v>885</v>
      </c>
      <c r="E221" s="139" t="s">
        <v>886</v>
      </c>
      <c r="F221" s="139" t="s">
        <v>886</v>
      </c>
    </row>
    <row r="222" spans="2:6">
      <c r="B222" s="82">
        <v>308</v>
      </c>
      <c r="C222" s="83" t="s">
        <v>502</v>
      </c>
      <c r="D222" s="139" t="s">
        <v>887</v>
      </c>
      <c r="E222" s="139" t="s">
        <v>888</v>
      </c>
      <c r="F222" s="139" t="s">
        <v>888</v>
      </c>
    </row>
    <row r="223" spans="2:6">
      <c r="B223" s="82">
        <v>309</v>
      </c>
      <c r="C223" s="83" t="s">
        <v>502</v>
      </c>
      <c r="D223" s="139" t="s">
        <v>889</v>
      </c>
      <c r="E223" s="139" t="s">
        <v>890</v>
      </c>
      <c r="F223" s="139" t="s">
        <v>890</v>
      </c>
    </row>
    <row r="224" spans="2:6">
      <c r="B224" s="82">
        <v>310</v>
      </c>
      <c r="C224" s="83" t="s">
        <v>502</v>
      </c>
      <c r="D224" s="139" t="s">
        <v>891</v>
      </c>
      <c r="E224" s="139" t="s">
        <v>892</v>
      </c>
      <c r="F224" s="139" t="s">
        <v>892</v>
      </c>
    </row>
    <row r="225" spans="2:6">
      <c r="B225" s="82">
        <v>311</v>
      </c>
      <c r="C225" s="83" t="s">
        <v>502</v>
      </c>
      <c r="D225" s="139" t="s">
        <v>893</v>
      </c>
      <c r="E225" s="139" t="s">
        <v>894</v>
      </c>
      <c r="F225" s="139" t="s">
        <v>894</v>
      </c>
    </row>
    <row r="226" spans="2:6">
      <c r="B226" s="82">
        <v>312</v>
      </c>
      <c r="C226" s="83" t="s">
        <v>502</v>
      </c>
      <c r="D226" s="139" t="s">
        <v>895</v>
      </c>
      <c r="E226" s="139" t="s">
        <v>896</v>
      </c>
      <c r="F226" s="139" t="s">
        <v>896</v>
      </c>
    </row>
    <row r="227" spans="2:6">
      <c r="B227" s="82">
        <v>313</v>
      </c>
      <c r="C227" s="83" t="s">
        <v>502</v>
      </c>
      <c r="D227" s="139" t="s">
        <v>897</v>
      </c>
      <c r="E227" s="139" t="s">
        <v>898</v>
      </c>
      <c r="F227" s="139" t="s">
        <v>898</v>
      </c>
    </row>
    <row r="228" spans="2:6">
      <c r="B228" s="82">
        <v>314</v>
      </c>
      <c r="C228" s="83" t="s">
        <v>502</v>
      </c>
      <c r="D228" s="139" t="s">
        <v>899</v>
      </c>
      <c r="E228" s="84" t="s">
        <v>900</v>
      </c>
      <c r="F228" s="84" t="s">
        <v>900</v>
      </c>
    </row>
    <row r="229" spans="2:6">
      <c r="B229" s="82">
        <v>315</v>
      </c>
      <c r="C229" s="83" t="s">
        <v>502</v>
      </c>
      <c r="D229" s="139" t="s">
        <v>901</v>
      </c>
      <c r="E229" s="84" t="s">
        <v>902</v>
      </c>
      <c r="F229" s="84" t="s">
        <v>902</v>
      </c>
    </row>
    <row r="230" spans="2:6">
      <c r="B230" s="82">
        <v>316</v>
      </c>
      <c r="C230" s="83" t="s">
        <v>502</v>
      </c>
      <c r="D230" s="139" t="s">
        <v>903</v>
      </c>
      <c r="E230" s="84" t="s">
        <v>904</v>
      </c>
      <c r="F230" s="84" t="s">
        <v>904</v>
      </c>
    </row>
    <row r="231" spans="2:6">
      <c r="B231" s="82">
        <v>317</v>
      </c>
      <c r="C231" s="83" t="s">
        <v>502</v>
      </c>
      <c r="D231" s="139" t="s">
        <v>905</v>
      </c>
      <c r="E231" s="84" t="s">
        <v>906</v>
      </c>
      <c r="F231" s="84" t="s">
        <v>906</v>
      </c>
    </row>
    <row r="232" spans="2:6">
      <c r="B232" s="82">
        <v>318</v>
      </c>
      <c r="C232" s="83" t="s">
        <v>502</v>
      </c>
      <c r="D232" s="139" t="s">
        <v>907</v>
      </c>
      <c r="E232" s="139" t="s">
        <v>908</v>
      </c>
      <c r="F232" s="139" t="s">
        <v>908</v>
      </c>
    </row>
    <row r="233" spans="2:6" ht="24">
      <c r="B233" s="82">
        <v>319</v>
      </c>
      <c r="D233" s="84" t="s">
        <v>909</v>
      </c>
      <c r="E233" s="84" t="s">
        <v>910</v>
      </c>
      <c r="F233" s="84" t="s">
        <v>910</v>
      </c>
    </row>
    <row r="234" spans="2:6" ht="24">
      <c r="B234" s="82">
        <v>320</v>
      </c>
      <c r="D234" s="84" t="s">
        <v>911</v>
      </c>
      <c r="E234" s="84" t="s">
        <v>912</v>
      </c>
      <c r="F234" s="84" t="s">
        <v>912</v>
      </c>
    </row>
    <row r="235" spans="2:6" ht="24">
      <c r="B235" s="82">
        <v>321</v>
      </c>
      <c r="D235" s="84" t="s">
        <v>913</v>
      </c>
      <c r="E235" s="84" t="s">
        <v>914</v>
      </c>
      <c r="F235" s="84" t="s">
        <v>914</v>
      </c>
    </row>
    <row r="236" spans="2:6" ht="24">
      <c r="B236" s="82">
        <v>322</v>
      </c>
      <c r="C236" s="83" t="s">
        <v>502</v>
      </c>
      <c r="D236" s="84" t="s">
        <v>915</v>
      </c>
      <c r="E236" s="84" t="s">
        <v>916</v>
      </c>
      <c r="F236" s="84" t="s">
        <v>916</v>
      </c>
    </row>
    <row r="237" spans="2:6">
      <c r="B237" s="82">
        <v>323</v>
      </c>
      <c r="D237" s="84" t="s">
        <v>917</v>
      </c>
      <c r="E237" s="84" t="s">
        <v>918</v>
      </c>
      <c r="F237" s="84" t="s">
        <v>918</v>
      </c>
    </row>
    <row r="238" spans="2:6">
      <c r="B238" s="82">
        <v>324</v>
      </c>
      <c r="C238" s="83" t="s">
        <v>557</v>
      </c>
      <c r="D238" s="84" t="s">
        <v>919</v>
      </c>
      <c r="E238" s="84" t="s">
        <v>920</v>
      </c>
      <c r="F238" s="84" t="s">
        <v>920</v>
      </c>
    </row>
    <row r="239" spans="2:6">
      <c r="B239" s="82">
        <v>325</v>
      </c>
      <c r="D239" s="84" t="s">
        <v>921</v>
      </c>
      <c r="E239" s="84" t="s">
        <v>922</v>
      </c>
      <c r="F239" s="84" t="s">
        <v>922</v>
      </c>
    </row>
    <row r="240" spans="2:6">
      <c r="B240" s="82">
        <v>326</v>
      </c>
      <c r="D240" s="84" t="s">
        <v>923</v>
      </c>
      <c r="E240" s="84" t="s">
        <v>924</v>
      </c>
      <c r="F240" s="84" t="s">
        <v>924</v>
      </c>
    </row>
    <row r="241" spans="2:6">
      <c r="B241" s="82">
        <v>327</v>
      </c>
      <c r="D241" s="84" t="s">
        <v>925</v>
      </c>
      <c r="E241" s="84" t="s">
        <v>926</v>
      </c>
      <c r="F241" s="84" t="s">
        <v>926</v>
      </c>
    </row>
    <row r="242" spans="2:6">
      <c r="B242" s="82">
        <v>328</v>
      </c>
      <c r="C242" s="83" t="s">
        <v>557</v>
      </c>
      <c r="D242" s="81" t="s">
        <v>927</v>
      </c>
      <c r="E242" s="139" t="s">
        <v>928</v>
      </c>
      <c r="F242" s="139" t="s">
        <v>928</v>
      </c>
    </row>
    <row r="243" spans="2:6">
      <c r="B243" s="82">
        <v>329</v>
      </c>
      <c r="C243" s="83" t="s">
        <v>557</v>
      </c>
      <c r="D243" s="81" t="s">
        <v>929</v>
      </c>
      <c r="E243" s="139" t="s">
        <v>930</v>
      </c>
      <c r="F243" s="139" t="s">
        <v>930</v>
      </c>
    </row>
    <row r="244" spans="2:6">
      <c r="B244" s="82">
        <v>330</v>
      </c>
      <c r="D244" s="84" t="s">
        <v>931</v>
      </c>
      <c r="E244" s="84" t="s">
        <v>932</v>
      </c>
      <c r="F244" s="84" t="s">
        <v>932</v>
      </c>
    </row>
    <row r="245" spans="2:6">
      <c r="B245" s="82">
        <v>331</v>
      </c>
      <c r="C245" s="83" t="s">
        <v>557</v>
      </c>
      <c r="D245" s="84" t="s">
        <v>933</v>
      </c>
      <c r="E245" s="84" t="s">
        <v>934</v>
      </c>
      <c r="F245" s="84" t="s">
        <v>934</v>
      </c>
    </row>
    <row r="246" spans="2:6">
      <c r="B246" s="82">
        <v>332</v>
      </c>
      <c r="C246" s="83" t="s">
        <v>557</v>
      </c>
      <c r="D246" s="81" t="s">
        <v>935</v>
      </c>
      <c r="E246" s="139" t="s">
        <v>936</v>
      </c>
      <c r="F246" s="139" t="s">
        <v>936</v>
      </c>
    </row>
    <row r="247" spans="2:6" ht="24">
      <c r="B247" s="82">
        <v>333</v>
      </c>
      <c r="D247" s="84" t="s">
        <v>937</v>
      </c>
      <c r="E247" s="84" t="s">
        <v>938</v>
      </c>
      <c r="F247" s="84" t="s">
        <v>938</v>
      </c>
    </row>
    <row r="248" spans="2:6" ht="24">
      <c r="B248" s="82">
        <v>334</v>
      </c>
      <c r="D248" s="84" t="s">
        <v>939</v>
      </c>
      <c r="E248" s="84" t="s">
        <v>940</v>
      </c>
      <c r="F248" s="84" t="s">
        <v>940</v>
      </c>
    </row>
    <row r="249" spans="2:6">
      <c r="B249" s="82">
        <v>335</v>
      </c>
      <c r="D249" s="84" t="s">
        <v>941</v>
      </c>
      <c r="E249" s="84" t="s">
        <v>942</v>
      </c>
      <c r="F249" s="84" t="s">
        <v>942</v>
      </c>
    </row>
    <row r="250" spans="2:6">
      <c r="B250" s="82">
        <v>336</v>
      </c>
      <c r="D250" s="84" t="s">
        <v>943</v>
      </c>
      <c r="E250" s="84" t="s">
        <v>944</v>
      </c>
      <c r="F250" s="84" t="s">
        <v>944</v>
      </c>
    </row>
    <row r="251" spans="2:6">
      <c r="B251" s="82">
        <v>337</v>
      </c>
      <c r="D251" s="84" t="s">
        <v>945</v>
      </c>
      <c r="E251" s="84" t="s">
        <v>946</v>
      </c>
      <c r="F251" s="84" t="s">
        <v>946</v>
      </c>
    </row>
    <row r="252" spans="2:6">
      <c r="B252" s="82">
        <v>338</v>
      </c>
      <c r="D252" s="84" t="s">
        <v>947</v>
      </c>
      <c r="E252" s="84" t="s">
        <v>948</v>
      </c>
      <c r="F252" s="84" t="s">
        <v>948</v>
      </c>
    </row>
    <row r="253" spans="2:6">
      <c r="B253" s="82">
        <v>339</v>
      </c>
      <c r="C253" s="83" t="s">
        <v>502</v>
      </c>
      <c r="D253" s="84" t="s">
        <v>949</v>
      </c>
      <c r="E253" s="84" t="s">
        <v>950</v>
      </c>
      <c r="F253" s="84" t="s">
        <v>950</v>
      </c>
    </row>
    <row r="254" spans="2:6">
      <c r="B254" s="82">
        <v>340</v>
      </c>
      <c r="C254" s="83" t="s">
        <v>502</v>
      </c>
      <c r="D254" s="84" t="s">
        <v>951</v>
      </c>
      <c r="E254" s="84" t="s">
        <v>952</v>
      </c>
      <c r="F254" s="84" t="s">
        <v>952</v>
      </c>
    </row>
    <row r="255" spans="2:6">
      <c r="B255" s="82">
        <v>341</v>
      </c>
      <c r="D255" s="84" t="s">
        <v>953</v>
      </c>
      <c r="E255" s="84" t="s">
        <v>954</v>
      </c>
      <c r="F255" s="84" t="s">
        <v>954</v>
      </c>
    </row>
    <row r="256" spans="2:6" ht="24">
      <c r="B256" s="82">
        <v>342</v>
      </c>
      <c r="C256" s="83" t="s">
        <v>502</v>
      </c>
      <c r="D256" s="84" t="s">
        <v>955</v>
      </c>
      <c r="E256" s="84" t="s">
        <v>956</v>
      </c>
      <c r="F256" s="84" t="s">
        <v>956</v>
      </c>
    </row>
    <row r="257" spans="2:6">
      <c r="B257" s="82">
        <v>343</v>
      </c>
      <c r="D257" s="84" t="s">
        <v>957</v>
      </c>
      <c r="E257" s="84" t="s">
        <v>958</v>
      </c>
      <c r="F257" s="84" t="s">
        <v>958</v>
      </c>
    </row>
    <row r="258" spans="2:6">
      <c r="B258" s="82">
        <v>344</v>
      </c>
      <c r="D258" s="84" t="s">
        <v>959</v>
      </c>
      <c r="E258" s="84" t="s">
        <v>960</v>
      </c>
      <c r="F258" s="84" t="s">
        <v>960</v>
      </c>
    </row>
    <row r="259" spans="2:6">
      <c r="B259" s="82">
        <v>345</v>
      </c>
      <c r="D259" s="84" t="s">
        <v>961</v>
      </c>
      <c r="E259" s="84" t="s">
        <v>962</v>
      </c>
      <c r="F259" s="84" t="s">
        <v>962</v>
      </c>
    </row>
    <row r="260" spans="2:6">
      <c r="B260" s="82">
        <v>346</v>
      </c>
      <c r="C260" s="83" t="s">
        <v>502</v>
      </c>
      <c r="D260" s="84" t="s">
        <v>963</v>
      </c>
      <c r="E260" s="84" t="s">
        <v>169</v>
      </c>
      <c r="F260" s="84" t="s">
        <v>169</v>
      </c>
    </row>
    <row r="261" spans="2:6">
      <c r="B261" s="82">
        <v>347</v>
      </c>
      <c r="C261" s="83" t="s">
        <v>557</v>
      </c>
      <c r="D261" s="81" t="s">
        <v>964</v>
      </c>
      <c r="E261" s="139" t="s">
        <v>965</v>
      </c>
      <c r="F261" s="139" t="s">
        <v>965</v>
      </c>
    </row>
    <row r="262" spans="2:6" ht="24">
      <c r="B262" s="82">
        <v>348</v>
      </c>
      <c r="C262" s="83" t="s">
        <v>502</v>
      </c>
      <c r="D262" s="84" t="s">
        <v>966</v>
      </c>
      <c r="E262" s="84" t="s">
        <v>967</v>
      </c>
      <c r="F262" s="84" t="s">
        <v>967</v>
      </c>
    </row>
    <row r="263" spans="2:6" ht="24">
      <c r="B263" s="82">
        <v>349</v>
      </c>
      <c r="D263" s="84" t="s">
        <v>968</v>
      </c>
      <c r="F263" s="84"/>
    </row>
    <row r="264" spans="2:6">
      <c r="B264" s="82">
        <v>350</v>
      </c>
      <c r="D264" s="84" t="s">
        <v>969</v>
      </c>
      <c r="E264" s="84" t="s">
        <v>970</v>
      </c>
      <c r="F264" s="84" t="s">
        <v>970</v>
      </c>
    </row>
    <row r="265" spans="2:6">
      <c r="B265" s="82">
        <v>351</v>
      </c>
      <c r="D265" s="84" t="s">
        <v>971</v>
      </c>
      <c r="E265" s="84" t="s">
        <v>972</v>
      </c>
      <c r="F265" s="84" t="s">
        <v>972</v>
      </c>
    </row>
    <row r="266" spans="2:6">
      <c r="B266" s="82">
        <v>352</v>
      </c>
      <c r="D266" s="84" t="s">
        <v>973</v>
      </c>
      <c r="E266" s="84" t="s">
        <v>974</v>
      </c>
      <c r="F266" s="84" t="s">
        <v>974</v>
      </c>
    </row>
    <row r="267" spans="2:6">
      <c r="B267" s="82">
        <v>353</v>
      </c>
      <c r="C267" s="83" t="s">
        <v>502</v>
      </c>
      <c r="D267" s="84" t="s">
        <v>975</v>
      </c>
      <c r="E267" s="84" t="s">
        <v>976</v>
      </c>
      <c r="F267" s="84" t="s">
        <v>976</v>
      </c>
    </row>
    <row r="268" spans="2:6">
      <c r="B268" s="82">
        <v>354</v>
      </c>
      <c r="D268" s="84" t="s">
        <v>977</v>
      </c>
      <c r="E268" s="84" t="s">
        <v>978</v>
      </c>
      <c r="F268" s="84" t="s">
        <v>978</v>
      </c>
    </row>
    <row r="269" spans="2:6">
      <c r="B269" s="82">
        <v>355</v>
      </c>
      <c r="D269" s="84" t="s">
        <v>979</v>
      </c>
      <c r="E269" s="84" t="s">
        <v>980</v>
      </c>
      <c r="F269" s="84" t="s">
        <v>980</v>
      </c>
    </row>
    <row r="270" spans="2:6">
      <c r="B270" s="82">
        <v>356</v>
      </c>
      <c r="D270" s="84" t="s">
        <v>981</v>
      </c>
      <c r="E270" s="84" t="s">
        <v>982</v>
      </c>
      <c r="F270" s="84" t="s">
        <v>982</v>
      </c>
    </row>
    <row r="271" spans="2:6" ht="24">
      <c r="B271" s="82">
        <v>357</v>
      </c>
      <c r="C271" s="83" t="s">
        <v>502</v>
      </c>
      <c r="D271" s="84" t="s">
        <v>983</v>
      </c>
      <c r="E271" s="84" t="s">
        <v>141</v>
      </c>
      <c r="F271" s="84" t="s">
        <v>141</v>
      </c>
    </row>
    <row r="272" spans="2:6" ht="36">
      <c r="B272" s="82">
        <v>358</v>
      </c>
      <c r="C272" s="83" t="s">
        <v>502</v>
      </c>
      <c r="D272" s="84" t="s">
        <v>984</v>
      </c>
      <c r="E272" s="84" t="s">
        <v>985</v>
      </c>
      <c r="F272" s="84" t="s">
        <v>985</v>
      </c>
    </row>
    <row r="273" spans="2:6">
      <c r="B273" s="82">
        <v>359</v>
      </c>
      <c r="D273" s="84" t="s">
        <v>986</v>
      </c>
      <c r="E273" s="84" t="s">
        <v>987</v>
      </c>
      <c r="F273" s="84" t="s">
        <v>987</v>
      </c>
    </row>
    <row r="274" spans="2:6">
      <c r="B274" s="82">
        <v>360</v>
      </c>
      <c r="D274" s="84" t="s">
        <v>988</v>
      </c>
      <c r="E274" s="84" t="s">
        <v>988</v>
      </c>
      <c r="F274" s="84" t="s">
        <v>988</v>
      </c>
    </row>
    <row r="275" spans="2:6">
      <c r="B275" s="82">
        <v>361</v>
      </c>
      <c r="D275" s="84" t="s">
        <v>989</v>
      </c>
      <c r="E275" s="84" t="s">
        <v>989</v>
      </c>
      <c r="F275" s="84" t="s">
        <v>989</v>
      </c>
    </row>
    <row r="276" spans="2:6">
      <c r="B276" s="82">
        <v>362</v>
      </c>
      <c r="D276" s="84" t="s">
        <v>990</v>
      </c>
      <c r="E276" s="84" t="s">
        <v>991</v>
      </c>
      <c r="F276" s="84" t="s">
        <v>991</v>
      </c>
    </row>
    <row r="277" spans="2:6">
      <c r="B277" s="82">
        <v>363</v>
      </c>
      <c r="D277" s="84" t="s">
        <v>992</v>
      </c>
      <c r="E277" s="84" t="s">
        <v>993</v>
      </c>
      <c r="F277" s="84" t="s">
        <v>993</v>
      </c>
    </row>
    <row r="278" spans="2:6">
      <c r="B278" s="82">
        <v>364</v>
      </c>
      <c r="D278" s="84" t="s">
        <v>994</v>
      </c>
      <c r="E278" s="84" t="s">
        <v>995</v>
      </c>
      <c r="F278" s="84" t="s">
        <v>995</v>
      </c>
    </row>
    <row r="279" spans="2:6">
      <c r="B279" s="82">
        <v>365</v>
      </c>
      <c r="D279" s="84" t="s">
        <v>996</v>
      </c>
      <c r="E279" s="84" t="s">
        <v>997</v>
      </c>
      <c r="F279" s="84" t="s">
        <v>997</v>
      </c>
    </row>
    <row r="280" spans="2:6">
      <c r="B280" s="82">
        <v>366</v>
      </c>
      <c r="D280" s="84" t="s">
        <v>998</v>
      </c>
      <c r="E280" s="84" t="s">
        <v>999</v>
      </c>
      <c r="F280" s="84" t="s">
        <v>999</v>
      </c>
    </row>
    <row r="281" spans="2:6">
      <c r="B281" s="82">
        <v>367</v>
      </c>
      <c r="D281" s="84" t="s">
        <v>1000</v>
      </c>
      <c r="E281" s="84" t="s">
        <v>1001</v>
      </c>
      <c r="F281" s="84" t="s">
        <v>1001</v>
      </c>
    </row>
    <row r="282" spans="2:6">
      <c r="B282" s="82">
        <v>368</v>
      </c>
      <c r="D282" s="84" t="s">
        <v>1002</v>
      </c>
      <c r="E282" s="84" t="s">
        <v>1003</v>
      </c>
      <c r="F282" s="84" t="s">
        <v>1003</v>
      </c>
    </row>
    <row r="283" spans="2:6">
      <c r="B283" s="82">
        <v>369</v>
      </c>
      <c r="D283" s="84" t="s">
        <v>1004</v>
      </c>
      <c r="E283" s="84" t="s">
        <v>1005</v>
      </c>
      <c r="F283" s="84" t="s">
        <v>1005</v>
      </c>
    </row>
    <row r="284" spans="2:6">
      <c r="B284" s="82">
        <v>370</v>
      </c>
      <c r="D284" s="84" t="s">
        <v>1006</v>
      </c>
      <c r="E284" s="84" t="s">
        <v>1003</v>
      </c>
      <c r="F284" s="84" t="s">
        <v>1003</v>
      </c>
    </row>
    <row r="285" spans="2:6">
      <c r="B285" s="82">
        <v>371</v>
      </c>
      <c r="C285" s="83" t="s">
        <v>502</v>
      </c>
      <c r="D285" s="84" t="s">
        <v>1007</v>
      </c>
      <c r="E285" s="84" t="s">
        <v>1008</v>
      </c>
      <c r="F285" s="84" t="s">
        <v>1008</v>
      </c>
    </row>
    <row r="286" spans="2:6">
      <c r="B286" s="82">
        <v>372</v>
      </c>
      <c r="D286" s="84" t="s">
        <v>1009</v>
      </c>
      <c r="E286" s="84" t="s">
        <v>1010</v>
      </c>
      <c r="F286" s="84" t="s">
        <v>1010</v>
      </c>
    </row>
    <row r="287" spans="2:6">
      <c r="B287" s="82">
        <v>373</v>
      </c>
      <c r="D287" s="84" t="s">
        <v>1011</v>
      </c>
      <c r="E287" s="84" t="s">
        <v>1012</v>
      </c>
      <c r="F287" s="84" t="s">
        <v>1012</v>
      </c>
    </row>
    <row r="288" spans="2:6">
      <c r="B288" s="82">
        <v>374</v>
      </c>
      <c r="D288" s="84" t="s">
        <v>1013</v>
      </c>
      <c r="E288" s="84" t="s">
        <v>1014</v>
      </c>
      <c r="F288" s="84" t="s">
        <v>1014</v>
      </c>
    </row>
    <row r="289" spans="2:6">
      <c r="B289" s="82">
        <v>375</v>
      </c>
      <c r="C289" s="83" t="s">
        <v>557</v>
      </c>
      <c r="D289" s="81" t="s">
        <v>1015</v>
      </c>
      <c r="E289" s="139" t="s">
        <v>1016</v>
      </c>
      <c r="F289" s="139" t="s">
        <v>1016</v>
      </c>
    </row>
    <row r="290" spans="2:6">
      <c r="B290" s="82">
        <v>376</v>
      </c>
      <c r="D290" s="84" t="s">
        <v>1017</v>
      </c>
      <c r="E290" s="84" t="s">
        <v>1018</v>
      </c>
      <c r="F290" s="84" t="s">
        <v>1018</v>
      </c>
    </row>
    <row r="291" spans="2:6">
      <c r="B291" s="82">
        <v>377</v>
      </c>
      <c r="D291" s="84" t="s">
        <v>1019</v>
      </c>
      <c r="E291" s="84" t="s">
        <v>1020</v>
      </c>
      <c r="F291" s="84" t="s">
        <v>1020</v>
      </c>
    </row>
    <row r="292" spans="2:6">
      <c r="B292" s="82">
        <v>378</v>
      </c>
      <c r="C292" s="83" t="s">
        <v>1021</v>
      </c>
      <c r="D292" s="84" t="s">
        <v>1022</v>
      </c>
      <c r="E292" s="84" t="s">
        <v>1023</v>
      </c>
      <c r="F292" s="84" t="s">
        <v>1023</v>
      </c>
    </row>
    <row r="293" spans="2:6">
      <c r="B293" s="82">
        <v>379</v>
      </c>
      <c r="D293" s="84" t="s">
        <v>1024</v>
      </c>
      <c r="E293" s="84" t="s">
        <v>1025</v>
      </c>
      <c r="F293" s="84" t="s">
        <v>1025</v>
      </c>
    </row>
    <row r="294" spans="2:6">
      <c r="B294" s="82">
        <v>380</v>
      </c>
      <c r="D294" s="84" t="s">
        <v>1026</v>
      </c>
      <c r="E294" s="84" t="s">
        <v>1027</v>
      </c>
      <c r="F294" s="84" t="s">
        <v>1027</v>
      </c>
    </row>
    <row r="295" spans="2:6">
      <c r="B295" s="82">
        <v>381</v>
      </c>
      <c r="D295" s="84" t="s">
        <v>1028</v>
      </c>
      <c r="E295" s="84" t="s">
        <v>1029</v>
      </c>
      <c r="F295" s="84" t="s">
        <v>1029</v>
      </c>
    </row>
    <row r="296" spans="2:6">
      <c r="B296" s="82">
        <v>382</v>
      </c>
      <c r="D296" s="84" t="s">
        <v>1030</v>
      </c>
      <c r="E296" s="84" t="s">
        <v>1031</v>
      </c>
      <c r="F296" s="84" t="s">
        <v>1031</v>
      </c>
    </row>
    <row r="297" spans="2:6">
      <c r="B297" s="82">
        <v>383</v>
      </c>
      <c r="D297" s="84" t="s">
        <v>1032</v>
      </c>
      <c r="E297" s="84" t="s">
        <v>1033</v>
      </c>
      <c r="F297" s="84" t="s">
        <v>1033</v>
      </c>
    </row>
    <row r="298" spans="2:6">
      <c r="B298" s="82">
        <v>384</v>
      </c>
      <c r="D298" s="84" t="s">
        <v>1034</v>
      </c>
      <c r="E298" s="84" t="s">
        <v>1035</v>
      </c>
      <c r="F298" s="84" t="s">
        <v>1035</v>
      </c>
    </row>
    <row r="299" spans="2:6" ht="24">
      <c r="B299" s="82">
        <v>385</v>
      </c>
      <c r="D299" s="84" t="s">
        <v>1036</v>
      </c>
      <c r="E299" s="84" t="s">
        <v>1037</v>
      </c>
      <c r="F299" s="84" t="s">
        <v>1037</v>
      </c>
    </row>
    <row r="300" spans="2:6">
      <c r="B300" s="82">
        <v>386</v>
      </c>
      <c r="D300" s="84" t="s">
        <v>1038</v>
      </c>
      <c r="E300" s="84" t="s">
        <v>1039</v>
      </c>
      <c r="F300" s="84" t="s">
        <v>1039</v>
      </c>
    </row>
    <row r="301" spans="2:6" ht="24">
      <c r="B301" s="82">
        <v>387</v>
      </c>
      <c r="D301" s="84" t="s">
        <v>1040</v>
      </c>
      <c r="E301" s="84" t="s">
        <v>1041</v>
      </c>
      <c r="F301" s="84" t="s">
        <v>1041</v>
      </c>
    </row>
    <row r="302" spans="2:6">
      <c r="B302" s="82">
        <v>388</v>
      </c>
      <c r="D302" s="84" t="s">
        <v>1042</v>
      </c>
      <c r="E302" s="84" t="s">
        <v>1043</v>
      </c>
      <c r="F302" s="84" t="s">
        <v>1043</v>
      </c>
    </row>
    <row r="303" spans="2:6">
      <c r="B303" s="82">
        <v>389</v>
      </c>
      <c r="D303" s="84" t="s">
        <v>1044</v>
      </c>
      <c r="E303" s="84" t="s">
        <v>1045</v>
      </c>
      <c r="F303" s="84" t="s">
        <v>1045</v>
      </c>
    </row>
    <row r="304" spans="2:6">
      <c r="B304" s="82">
        <v>390</v>
      </c>
      <c r="D304" s="84" t="s">
        <v>1046</v>
      </c>
      <c r="E304" s="84" t="s">
        <v>1047</v>
      </c>
      <c r="F304" s="84" t="s">
        <v>1047</v>
      </c>
    </row>
    <row r="305" spans="2:6">
      <c r="B305" s="82">
        <v>391</v>
      </c>
      <c r="D305" s="84" t="s">
        <v>1048</v>
      </c>
      <c r="E305" s="84" t="s">
        <v>1049</v>
      </c>
      <c r="F305" s="84" t="s">
        <v>1049</v>
      </c>
    </row>
    <row r="306" spans="2:6">
      <c r="B306" s="82">
        <v>392</v>
      </c>
      <c r="D306" s="84" t="s">
        <v>1050</v>
      </c>
      <c r="E306" s="84" t="s">
        <v>1051</v>
      </c>
      <c r="F306" s="84" t="s">
        <v>1051</v>
      </c>
    </row>
    <row r="307" spans="2:6">
      <c r="B307" s="82">
        <v>393</v>
      </c>
      <c r="D307" s="84" t="s">
        <v>1052</v>
      </c>
      <c r="E307" s="84" t="s">
        <v>1053</v>
      </c>
      <c r="F307" s="84" t="s">
        <v>1053</v>
      </c>
    </row>
    <row r="308" spans="2:6">
      <c r="B308" s="82">
        <v>394</v>
      </c>
      <c r="D308" s="84" t="s">
        <v>1054</v>
      </c>
      <c r="E308" s="84" t="s">
        <v>1055</v>
      </c>
      <c r="F308" s="84" t="s">
        <v>1055</v>
      </c>
    </row>
    <row r="309" spans="2:6">
      <c r="B309" s="82">
        <v>395</v>
      </c>
      <c r="D309" s="84" t="s">
        <v>1056</v>
      </c>
      <c r="E309" s="84" t="s">
        <v>1057</v>
      </c>
      <c r="F309" s="84" t="s">
        <v>1057</v>
      </c>
    </row>
    <row r="310" spans="2:6">
      <c r="B310" s="82">
        <v>396</v>
      </c>
      <c r="D310" s="84" t="s">
        <v>1058</v>
      </c>
      <c r="E310" s="84" t="s">
        <v>1059</v>
      </c>
      <c r="F310" s="84" t="s">
        <v>1059</v>
      </c>
    </row>
    <row r="311" spans="2:6">
      <c r="B311" s="82">
        <v>397</v>
      </c>
      <c r="C311" s="83" t="s">
        <v>548</v>
      </c>
      <c r="D311" s="84" t="s">
        <v>1060</v>
      </c>
      <c r="E311" s="84" t="s">
        <v>1061</v>
      </c>
      <c r="F311" s="84" t="s">
        <v>1061</v>
      </c>
    </row>
    <row r="312" spans="2:6">
      <c r="B312" s="82">
        <v>398</v>
      </c>
      <c r="C312" s="83" t="s">
        <v>557</v>
      </c>
      <c r="D312" s="81" t="s">
        <v>1062</v>
      </c>
      <c r="E312" s="139" t="s">
        <v>1063</v>
      </c>
      <c r="F312" s="139" t="s">
        <v>1063</v>
      </c>
    </row>
    <row r="313" spans="2:6">
      <c r="B313" s="82">
        <v>399</v>
      </c>
      <c r="D313" s="84" t="s">
        <v>1064</v>
      </c>
      <c r="E313" s="84" t="s">
        <v>1065</v>
      </c>
      <c r="F313" s="84" t="s">
        <v>1065</v>
      </c>
    </row>
    <row r="314" spans="2:6">
      <c r="B314" s="82">
        <v>400</v>
      </c>
      <c r="D314" s="84" t="s">
        <v>1066</v>
      </c>
      <c r="E314" s="84" t="s">
        <v>1067</v>
      </c>
      <c r="F314" s="84" t="s">
        <v>1067</v>
      </c>
    </row>
    <row r="315" spans="2:6">
      <c r="B315" s="82">
        <v>401</v>
      </c>
      <c r="D315" s="84" t="s">
        <v>1068</v>
      </c>
      <c r="E315" s="84" t="s">
        <v>1069</v>
      </c>
      <c r="F315" s="84" t="s">
        <v>1069</v>
      </c>
    </row>
    <row r="316" spans="2:6">
      <c r="B316" s="82">
        <v>402</v>
      </c>
      <c r="D316" s="84" t="s">
        <v>1070</v>
      </c>
      <c r="E316" s="84" t="s">
        <v>426</v>
      </c>
      <c r="F316" s="84" t="s">
        <v>426</v>
      </c>
    </row>
    <row r="317" spans="2:6">
      <c r="B317" s="82">
        <v>403</v>
      </c>
      <c r="C317" s="83" t="s">
        <v>557</v>
      </c>
      <c r="D317" s="81" t="s">
        <v>1071</v>
      </c>
      <c r="E317" s="139" t="s">
        <v>1072</v>
      </c>
      <c r="F317" s="139" t="s">
        <v>1072</v>
      </c>
    </row>
    <row r="318" spans="2:6">
      <c r="B318" s="82">
        <v>404</v>
      </c>
      <c r="D318" s="84" t="s">
        <v>1073</v>
      </c>
      <c r="E318" s="84" t="s">
        <v>1074</v>
      </c>
      <c r="F318" s="84" t="s">
        <v>1074</v>
      </c>
    </row>
    <row r="319" spans="2:6">
      <c r="B319" s="82">
        <v>405</v>
      </c>
      <c r="C319" s="83" t="s">
        <v>557</v>
      </c>
      <c r="D319" s="84" t="s">
        <v>1075</v>
      </c>
      <c r="E319" s="139" t="s">
        <v>1076</v>
      </c>
      <c r="F319" s="139" t="s">
        <v>1076</v>
      </c>
    </row>
    <row r="320" spans="2:6">
      <c r="B320" s="82">
        <v>406</v>
      </c>
      <c r="D320" s="84" t="s">
        <v>1077</v>
      </c>
      <c r="E320" s="84" t="s">
        <v>1078</v>
      </c>
      <c r="F320" s="84" t="s">
        <v>1078</v>
      </c>
    </row>
    <row r="321" spans="1:6" ht="36">
      <c r="B321" s="82">
        <v>407</v>
      </c>
      <c r="D321" s="84" t="s">
        <v>1079</v>
      </c>
      <c r="E321" s="84" t="s">
        <v>1080</v>
      </c>
      <c r="F321" s="84" t="s">
        <v>1080</v>
      </c>
    </row>
    <row r="322" spans="1:6">
      <c r="B322" s="82">
        <v>408</v>
      </c>
      <c r="D322" s="84" t="s">
        <v>1081</v>
      </c>
      <c r="E322" s="84" t="s">
        <v>1082</v>
      </c>
      <c r="F322" s="84" t="s">
        <v>1082</v>
      </c>
    </row>
    <row r="323" spans="1:6">
      <c r="B323" s="82">
        <v>409</v>
      </c>
      <c r="D323" s="84" t="s">
        <v>1083</v>
      </c>
      <c r="E323" s="84" t="s">
        <v>1084</v>
      </c>
      <c r="F323" s="84" t="s">
        <v>1084</v>
      </c>
    </row>
    <row r="324" spans="1:6" ht="24">
      <c r="B324" s="82">
        <v>410</v>
      </c>
      <c r="D324" s="84" t="s">
        <v>1085</v>
      </c>
      <c r="E324" s="84" t="s">
        <v>1086</v>
      </c>
      <c r="F324" s="84" t="s">
        <v>1086</v>
      </c>
    </row>
    <row r="325" spans="1:6">
      <c r="B325" s="82">
        <v>411</v>
      </c>
      <c r="D325" s="84" t="s">
        <v>1087</v>
      </c>
      <c r="E325" s="84" t="s">
        <v>1088</v>
      </c>
      <c r="F325" s="84" t="s">
        <v>1088</v>
      </c>
    </row>
    <row r="326" spans="1:6">
      <c r="B326" s="82">
        <v>412</v>
      </c>
      <c r="D326" s="84" t="s">
        <v>1089</v>
      </c>
      <c r="E326" s="84" t="s">
        <v>1090</v>
      </c>
      <c r="F326" s="84" t="s">
        <v>1090</v>
      </c>
    </row>
    <row r="327" spans="1:6">
      <c r="A327" s="136"/>
      <c r="B327" s="82">
        <v>413</v>
      </c>
      <c r="C327" s="137" t="s">
        <v>498</v>
      </c>
      <c r="D327" s="135" t="s">
        <v>1091</v>
      </c>
      <c r="E327" s="135" t="s">
        <v>1092</v>
      </c>
      <c r="F327" s="135" t="s">
        <v>1092</v>
      </c>
    </row>
    <row r="328" spans="1:6">
      <c r="A328" s="136"/>
      <c r="B328" s="82">
        <v>414</v>
      </c>
      <c r="C328" s="137" t="s">
        <v>498</v>
      </c>
      <c r="D328" s="135" t="s">
        <v>1093</v>
      </c>
      <c r="E328" s="135" t="s">
        <v>1094</v>
      </c>
      <c r="F328" s="135" t="s">
        <v>1094</v>
      </c>
    </row>
    <row r="329" spans="1:6">
      <c r="A329" s="136"/>
      <c r="B329" s="82">
        <v>415</v>
      </c>
      <c r="C329" s="137" t="s">
        <v>498</v>
      </c>
      <c r="D329" s="135" t="s">
        <v>1095</v>
      </c>
      <c r="E329" s="135" t="s">
        <v>1096</v>
      </c>
      <c r="F329" s="135" t="s">
        <v>1096</v>
      </c>
    </row>
    <row r="330" spans="1:6">
      <c r="B330" s="82">
        <v>416</v>
      </c>
      <c r="D330" s="84" t="s">
        <v>1097</v>
      </c>
      <c r="E330" s="84" t="s">
        <v>1092</v>
      </c>
      <c r="F330" s="84" t="s">
        <v>1092</v>
      </c>
    </row>
    <row r="331" spans="1:6">
      <c r="B331" s="82">
        <v>417</v>
      </c>
      <c r="D331" s="84" t="s">
        <v>1098</v>
      </c>
      <c r="E331" s="135" t="s">
        <v>1099</v>
      </c>
      <c r="F331" s="135" t="s">
        <v>1099</v>
      </c>
    </row>
    <row r="332" spans="1:6">
      <c r="B332" s="82">
        <v>418</v>
      </c>
      <c r="D332" s="84" t="s">
        <v>1100</v>
      </c>
      <c r="E332" s="84" t="s">
        <v>1101</v>
      </c>
      <c r="F332" s="84" t="s">
        <v>1101</v>
      </c>
    </row>
    <row r="333" spans="1:6">
      <c r="B333" s="82">
        <v>419</v>
      </c>
      <c r="D333" s="84" t="s">
        <v>1102</v>
      </c>
      <c r="E333" s="84" t="s">
        <v>1103</v>
      </c>
      <c r="F333" s="84" t="s">
        <v>1103</v>
      </c>
    </row>
    <row r="334" spans="1:6">
      <c r="B334" s="82">
        <v>420</v>
      </c>
      <c r="D334" s="84" t="s">
        <v>1104</v>
      </c>
      <c r="E334" s="84" t="s">
        <v>1105</v>
      </c>
      <c r="F334" s="84" t="s">
        <v>1105</v>
      </c>
    </row>
    <row r="335" spans="1:6">
      <c r="B335" s="82">
        <v>421</v>
      </c>
      <c r="D335" s="84" t="s">
        <v>1106</v>
      </c>
      <c r="E335" s="84" t="s">
        <v>1107</v>
      </c>
      <c r="F335" s="84" t="s">
        <v>1107</v>
      </c>
    </row>
    <row r="336" spans="1:6">
      <c r="B336" s="82">
        <v>422</v>
      </c>
      <c r="D336" s="84" t="s">
        <v>1108</v>
      </c>
      <c r="E336" s="84" t="s">
        <v>1109</v>
      </c>
      <c r="F336" s="84" t="s">
        <v>1109</v>
      </c>
    </row>
    <row r="337" spans="2:6">
      <c r="B337" s="82">
        <v>423</v>
      </c>
      <c r="D337" s="84" t="s">
        <v>1110</v>
      </c>
      <c r="E337" s="84" t="s">
        <v>1111</v>
      </c>
      <c r="F337" s="84" t="s">
        <v>1111</v>
      </c>
    </row>
    <row r="338" spans="2:6">
      <c r="B338" s="82">
        <v>424</v>
      </c>
      <c r="D338" s="84" t="s">
        <v>1112</v>
      </c>
      <c r="E338" s="84" t="s">
        <v>1113</v>
      </c>
      <c r="F338" s="84" t="s">
        <v>1113</v>
      </c>
    </row>
    <row r="339" spans="2:6">
      <c r="B339" s="82">
        <v>425</v>
      </c>
      <c r="D339" s="84" t="s">
        <v>1114</v>
      </c>
      <c r="E339" s="84" t="s">
        <v>1115</v>
      </c>
      <c r="F339" s="84" t="s">
        <v>1115</v>
      </c>
    </row>
    <row r="340" spans="2:6">
      <c r="B340" s="82">
        <v>426</v>
      </c>
      <c r="D340" s="84" t="s">
        <v>1116</v>
      </c>
      <c r="E340" s="84" t="s">
        <v>1117</v>
      </c>
      <c r="F340" s="84" t="s">
        <v>1117</v>
      </c>
    </row>
    <row r="341" spans="2:6">
      <c r="B341" s="82">
        <v>427</v>
      </c>
      <c r="D341" s="84" t="s">
        <v>1118</v>
      </c>
      <c r="E341" s="84" t="s">
        <v>1119</v>
      </c>
      <c r="F341" s="84" t="s">
        <v>1119</v>
      </c>
    </row>
    <row r="342" spans="2:6">
      <c r="B342" s="82">
        <v>428</v>
      </c>
      <c r="D342" s="84" t="s">
        <v>1120</v>
      </c>
      <c r="E342" s="84" t="s">
        <v>1121</v>
      </c>
      <c r="F342" s="84" t="s">
        <v>1121</v>
      </c>
    </row>
    <row r="343" spans="2:6">
      <c r="B343" s="82">
        <v>429</v>
      </c>
      <c r="D343" s="84" t="s">
        <v>1122</v>
      </c>
      <c r="E343" s="84" t="s">
        <v>1123</v>
      </c>
      <c r="F343" s="84" t="s">
        <v>1123</v>
      </c>
    </row>
    <row r="344" spans="2:6">
      <c r="B344" s="82">
        <v>430</v>
      </c>
      <c r="D344" s="84" t="s">
        <v>1124</v>
      </c>
      <c r="E344" s="84" t="s">
        <v>1125</v>
      </c>
      <c r="F344" s="84" t="s">
        <v>1125</v>
      </c>
    </row>
    <row r="345" spans="2:6">
      <c r="B345" s="82">
        <v>431</v>
      </c>
      <c r="D345" s="84" t="s">
        <v>1126</v>
      </c>
      <c r="E345" s="84" t="s">
        <v>1127</v>
      </c>
      <c r="F345" s="84" t="s">
        <v>1127</v>
      </c>
    </row>
    <row r="346" spans="2:6">
      <c r="B346" s="82">
        <v>432</v>
      </c>
      <c r="D346" s="84" t="s">
        <v>1128</v>
      </c>
      <c r="E346" s="84" t="s">
        <v>1129</v>
      </c>
      <c r="F346" s="84" t="s">
        <v>1129</v>
      </c>
    </row>
    <row r="347" spans="2:6">
      <c r="B347" s="82">
        <v>433</v>
      </c>
      <c r="D347" s="84" t="s">
        <v>1130</v>
      </c>
      <c r="E347" s="84" t="s">
        <v>1131</v>
      </c>
      <c r="F347" s="84" t="s">
        <v>1131</v>
      </c>
    </row>
    <row r="348" spans="2:6">
      <c r="B348" s="82">
        <v>434</v>
      </c>
      <c r="D348" s="84" t="s">
        <v>1132</v>
      </c>
      <c r="E348" s="84" t="s">
        <v>1133</v>
      </c>
      <c r="F348" s="84" t="s">
        <v>1133</v>
      </c>
    </row>
    <row r="349" spans="2:6">
      <c r="B349" s="82">
        <v>435</v>
      </c>
      <c r="D349" s="84" t="s">
        <v>1134</v>
      </c>
      <c r="E349" s="84" t="s">
        <v>1135</v>
      </c>
      <c r="F349" s="84" t="s">
        <v>1135</v>
      </c>
    </row>
    <row r="350" spans="2:6">
      <c r="B350" s="82">
        <v>436</v>
      </c>
      <c r="D350" s="84" t="s">
        <v>1136</v>
      </c>
      <c r="E350" s="84" t="s">
        <v>1137</v>
      </c>
      <c r="F350" s="84" t="s">
        <v>1137</v>
      </c>
    </row>
    <row r="351" spans="2:6">
      <c r="B351" s="82">
        <v>437</v>
      </c>
      <c r="D351" s="84" t="s">
        <v>1138</v>
      </c>
      <c r="E351" s="84" t="s">
        <v>1139</v>
      </c>
      <c r="F351" s="84" t="s">
        <v>1139</v>
      </c>
    </row>
    <row r="352" spans="2:6">
      <c r="B352" s="82">
        <v>438</v>
      </c>
      <c r="D352" s="84" t="s">
        <v>1140</v>
      </c>
      <c r="E352" s="84" t="s">
        <v>1141</v>
      </c>
      <c r="F352" s="84" t="s">
        <v>1141</v>
      </c>
    </row>
    <row r="353" spans="2:6">
      <c r="B353" s="82">
        <v>439</v>
      </c>
      <c r="D353" s="84" t="s">
        <v>1142</v>
      </c>
      <c r="E353" s="84" t="s">
        <v>1143</v>
      </c>
      <c r="F353" s="84" t="s">
        <v>1143</v>
      </c>
    </row>
    <row r="354" spans="2:6">
      <c r="B354" s="82">
        <v>440</v>
      </c>
      <c r="D354" s="84" t="s">
        <v>1144</v>
      </c>
      <c r="E354" s="84" t="s">
        <v>1144</v>
      </c>
      <c r="F354" s="84" t="s">
        <v>1144</v>
      </c>
    </row>
    <row r="355" spans="2:6" ht="24">
      <c r="B355" s="82">
        <v>441</v>
      </c>
      <c r="C355" s="83" t="s">
        <v>502</v>
      </c>
      <c r="D355" s="84" t="s">
        <v>1145</v>
      </c>
      <c r="E355" s="84" t="s">
        <v>157</v>
      </c>
      <c r="F355" s="84" t="s">
        <v>157</v>
      </c>
    </row>
    <row r="356" spans="2:6">
      <c r="B356" s="82">
        <v>442</v>
      </c>
      <c r="D356" s="84" t="s">
        <v>1146</v>
      </c>
      <c r="E356" s="84" t="s">
        <v>1147</v>
      </c>
      <c r="F356" s="84" t="s">
        <v>1147</v>
      </c>
    </row>
    <row r="357" spans="2:6">
      <c r="B357" s="82">
        <v>443</v>
      </c>
      <c r="C357" s="83" t="s">
        <v>557</v>
      </c>
      <c r="D357" s="84" t="s">
        <v>1148</v>
      </c>
      <c r="E357" s="84" t="s">
        <v>1149</v>
      </c>
      <c r="F357" s="84" t="s">
        <v>1149</v>
      </c>
    </row>
    <row r="358" spans="2:6">
      <c r="B358" s="82">
        <v>444</v>
      </c>
      <c r="D358" s="84" t="s">
        <v>1150</v>
      </c>
      <c r="E358" s="84" t="s">
        <v>1151</v>
      </c>
      <c r="F358" s="84" t="s">
        <v>1151</v>
      </c>
    </row>
    <row r="359" spans="2:6" ht="24">
      <c r="B359" s="82">
        <v>445</v>
      </c>
      <c r="D359" s="84" t="s">
        <v>1152</v>
      </c>
      <c r="E359" s="84" t="s">
        <v>1153</v>
      </c>
      <c r="F359" s="84" t="s">
        <v>1153</v>
      </c>
    </row>
    <row r="360" spans="2:6">
      <c r="B360" s="82">
        <v>446</v>
      </c>
      <c r="D360" s="84" t="s">
        <v>1154</v>
      </c>
      <c r="E360" s="84" t="s">
        <v>1155</v>
      </c>
      <c r="F360" s="84" t="s">
        <v>1155</v>
      </c>
    </row>
    <row r="361" spans="2:6">
      <c r="B361" s="82">
        <v>447</v>
      </c>
      <c r="D361" s="84" t="s">
        <v>1156</v>
      </c>
      <c r="E361" s="84" t="s">
        <v>1157</v>
      </c>
      <c r="F361" s="84" t="s">
        <v>1157</v>
      </c>
    </row>
    <row r="362" spans="2:6" ht="24">
      <c r="B362" s="82">
        <v>448</v>
      </c>
      <c r="D362" s="84" t="s">
        <v>1158</v>
      </c>
      <c r="E362" s="84" t="s">
        <v>1159</v>
      </c>
      <c r="F362" s="84" t="s">
        <v>1159</v>
      </c>
    </row>
    <row r="363" spans="2:6">
      <c r="B363" s="82">
        <v>449</v>
      </c>
      <c r="D363" s="135" t="s">
        <v>1160</v>
      </c>
      <c r="E363" s="84" t="s">
        <v>681</v>
      </c>
      <c r="F363" s="84" t="s">
        <v>681</v>
      </c>
    </row>
    <row r="364" spans="2:6">
      <c r="B364" s="82">
        <v>450</v>
      </c>
      <c r="D364" s="84" t="s">
        <v>1161</v>
      </c>
      <c r="E364" s="84" t="s">
        <v>1162</v>
      </c>
      <c r="F364" s="84" t="s">
        <v>1162</v>
      </c>
    </row>
    <row r="365" spans="2:6">
      <c r="B365" s="82">
        <v>451</v>
      </c>
      <c r="D365" s="84" t="s">
        <v>1163</v>
      </c>
      <c r="E365" s="84" t="s">
        <v>1164</v>
      </c>
      <c r="F365" s="84" t="s">
        <v>1164</v>
      </c>
    </row>
    <row r="366" spans="2:6">
      <c r="B366" s="82">
        <v>452</v>
      </c>
      <c r="D366" s="84" t="s">
        <v>1165</v>
      </c>
      <c r="E366" s="84" t="s">
        <v>1166</v>
      </c>
      <c r="F366" s="84" t="s">
        <v>1166</v>
      </c>
    </row>
    <row r="367" spans="2:6">
      <c r="B367" s="82">
        <v>453</v>
      </c>
      <c r="D367" s="84" t="s">
        <v>1167</v>
      </c>
      <c r="E367" s="84" t="s">
        <v>1168</v>
      </c>
      <c r="F367" s="84" t="s">
        <v>1168</v>
      </c>
    </row>
    <row r="368" spans="2:6">
      <c r="B368" s="82">
        <v>454</v>
      </c>
      <c r="D368" s="84" t="s">
        <v>1169</v>
      </c>
      <c r="E368" s="84" t="s">
        <v>1170</v>
      </c>
      <c r="F368" s="84" t="s">
        <v>1170</v>
      </c>
    </row>
    <row r="369" spans="2:6">
      <c r="B369" s="82">
        <v>455</v>
      </c>
      <c r="C369" s="83" t="s">
        <v>502</v>
      </c>
      <c r="D369" s="84" t="s">
        <v>1171</v>
      </c>
      <c r="E369" s="84" t="s">
        <v>1172</v>
      </c>
      <c r="F369" s="84" t="s">
        <v>1172</v>
      </c>
    </row>
    <row r="370" spans="2:6">
      <c r="B370" s="82">
        <v>456</v>
      </c>
      <c r="D370" s="84" t="s">
        <v>1173</v>
      </c>
      <c r="E370" s="84" t="s">
        <v>1172</v>
      </c>
      <c r="F370" s="84" t="s">
        <v>1172</v>
      </c>
    </row>
    <row r="371" spans="2:6">
      <c r="B371" s="82">
        <v>457</v>
      </c>
      <c r="D371" s="84" t="s">
        <v>1174</v>
      </c>
      <c r="E371" s="84" t="s">
        <v>1175</v>
      </c>
      <c r="F371" s="84" t="s">
        <v>1175</v>
      </c>
    </row>
    <row r="372" spans="2:6">
      <c r="B372" s="82">
        <v>458</v>
      </c>
      <c r="D372" s="84" t="s">
        <v>1176</v>
      </c>
      <c r="E372" s="84" t="s">
        <v>1177</v>
      </c>
      <c r="F372" s="84" t="s">
        <v>1177</v>
      </c>
    </row>
    <row r="373" spans="2:6">
      <c r="B373" s="82">
        <v>459</v>
      </c>
      <c r="D373" s="84" t="s">
        <v>1178</v>
      </c>
      <c r="E373" s="84" t="s">
        <v>1179</v>
      </c>
      <c r="F373" s="84" t="s">
        <v>1179</v>
      </c>
    </row>
    <row r="374" spans="2:6">
      <c r="B374" s="82">
        <v>460</v>
      </c>
      <c r="D374" s="84" t="s">
        <v>1180</v>
      </c>
      <c r="F374" s="84"/>
    </row>
    <row r="375" spans="2:6">
      <c r="B375" s="82">
        <v>461</v>
      </c>
      <c r="D375" s="84" t="s">
        <v>1181</v>
      </c>
      <c r="E375" s="84" t="s">
        <v>1182</v>
      </c>
      <c r="F375" s="84" t="s">
        <v>1182</v>
      </c>
    </row>
    <row r="376" spans="2:6" ht="24">
      <c r="B376" s="82">
        <v>462</v>
      </c>
      <c r="D376" s="84" t="s">
        <v>1183</v>
      </c>
      <c r="E376" s="84" t="s">
        <v>1184</v>
      </c>
      <c r="F376" s="84" t="s">
        <v>1184</v>
      </c>
    </row>
    <row r="377" spans="2:6" ht="24">
      <c r="B377" s="82">
        <v>463</v>
      </c>
      <c r="D377" s="84" t="s">
        <v>1185</v>
      </c>
      <c r="E377" s="84" t="s">
        <v>1186</v>
      </c>
      <c r="F377" s="84" t="s">
        <v>1186</v>
      </c>
    </row>
    <row r="378" spans="2:6">
      <c r="B378" s="82">
        <v>464</v>
      </c>
      <c r="D378" s="84" t="s">
        <v>1187</v>
      </c>
      <c r="E378" s="84" t="s">
        <v>1188</v>
      </c>
      <c r="F378" s="84" t="s">
        <v>1188</v>
      </c>
    </row>
    <row r="379" spans="2:6">
      <c r="B379" s="82">
        <v>465</v>
      </c>
      <c r="D379" s="84" t="s">
        <v>1189</v>
      </c>
      <c r="E379" s="84" t="s">
        <v>1190</v>
      </c>
      <c r="F379" s="84" t="s">
        <v>1190</v>
      </c>
    </row>
    <row r="380" spans="2:6">
      <c r="B380" s="82">
        <v>466</v>
      </c>
      <c r="C380" s="83" t="s">
        <v>502</v>
      </c>
      <c r="D380" s="84" t="s">
        <v>1191</v>
      </c>
      <c r="E380" s="84" t="s">
        <v>1192</v>
      </c>
      <c r="F380" s="84" t="s">
        <v>1192</v>
      </c>
    </row>
    <row r="381" spans="2:6">
      <c r="B381" s="82">
        <v>467</v>
      </c>
      <c r="C381" s="83" t="s">
        <v>502</v>
      </c>
      <c r="D381" s="84" t="s">
        <v>1193</v>
      </c>
      <c r="E381" s="84" t="s">
        <v>1194</v>
      </c>
      <c r="F381" s="84" t="s">
        <v>1194</v>
      </c>
    </row>
    <row r="382" spans="2:6">
      <c r="B382" s="82">
        <v>468</v>
      </c>
      <c r="D382" s="84" t="s">
        <v>1195</v>
      </c>
      <c r="E382" s="84" t="s">
        <v>1196</v>
      </c>
      <c r="F382" s="84" t="s">
        <v>1196</v>
      </c>
    </row>
    <row r="383" spans="2:6">
      <c r="B383" s="82">
        <v>469</v>
      </c>
      <c r="C383" s="83" t="s">
        <v>502</v>
      </c>
      <c r="D383" s="84" t="s">
        <v>1197</v>
      </c>
      <c r="E383" s="84" t="s">
        <v>1198</v>
      </c>
      <c r="F383" s="84" t="s">
        <v>1198</v>
      </c>
    </row>
    <row r="384" spans="2:6" ht="24">
      <c r="B384" s="82">
        <v>470</v>
      </c>
      <c r="C384" s="83" t="s">
        <v>502</v>
      </c>
      <c r="D384" s="84" t="s">
        <v>1199</v>
      </c>
      <c r="E384" s="84" t="s">
        <v>1200</v>
      </c>
      <c r="F384" s="84" t="s">
        <v>1200</v>
      </c>
    </row>
    <row r="385" spans="2:6">
      <c r="B385" s="82">
        <v>471</v>
      </c>
      <c r="C385" s="83" t="s">
        <v>502</v>
      </c>
      <c r="D385" s="84" t="s">
        <v>1201</v>
      </c>
      <c r="E385" s="84" t="s">
        <v>1202</v>
      </c>
      <c r="F385" s="84" t="s">
        <v>1202</v>
      </c>
    </row>
    <row r="386" spans="2:6">
      <c r="B386" s="82">
        <v>472</v>
      </c>
      <c r="D386" s="84" t="s">
        <v>1203</v>
      </c>
      <c r="E386" s="84" t="s">
        <v>1204</v>
      </c>
      <c r="F386" s="84" t="s">
        <v>1204</v>
      </c>
    </row>
    <row r="387" spans="2:6">
      <c r="B387" s="82">
        <v>473</v>
      </c>
      <c r="D387" s="84" t="s">
        <v>1205</v>
      </c>
      <c r="E387" s="84" t="s">
        <v>1206</v>
      </c>
      <c r="F387" s="84" t="s">
        <v>1206</v>
      </c>
    </row>
    <row r="388" spans="2:6" ht="36">
      <c r="B388" s="82">
        <v>474</v>
      </c>
      <c r="C388" s="83" t="s">
        <v>502</v>
      </c>
      <c r="D388" s="84" t="s">
        <v>1207</v>
      </c>
      <c r="E388" s="84" t="s">
        <v>1208</v>
      </c>
      <c r="F388" s="84" t="s">
        <v>1208</v>
      </c>
    </row>
    <row r="389" spans="2:6">
      <c r="B389" s="82">
        <v>475</v>
      </c>
      <c r="D389" s="84" t="s">
        <v>1209</v>
      </c>
      <c r="E389" s="84" t="s">
        <v>1210</v>
      </c>
      <c r="F389" s="84" t="s">
        <v>1210</v>
      </c>
    </row>
    <row r="390" spans="2:6">
      <c r="B390" s="82">
        <v>476</v>
      </c>
      <c r="D390" s="84" t="s">
        <v>1211</v>
      </c>
      <c r="E390" s="84" t="s">
        <v>1212</v>
      </c>
      <c r="F390" s="84" t="s">
        <v>1212</v>
      </c>
    </row>
    <row r="391" spans="2:6">
      <c r="B391" s="82">
        <v>477</v>
      </c>
      <c r="D391" s="84" t="s">
        <v>1213</v>
      </c>
      <c r="E391" s="84" t="s">
        <v>423</v>
      </c>
      <c r="F391" s="84" t="s">
        <v>423</v>
      </c>
    </row>
    <row r="392" spans="2:6">
      <c r="B392" s="82">
        <v>478</v>
      </c>
      <c r="D392" s="84" t="s">
        <v>1214</v>
      </c>
      <c r="E392" s="84" t="s">
        <v>1215</v>
      </c>
      <c r="F392" s="84" t="s">
        <v>1215</v>
      </c>
    </row>
    <row r="393" spans="2:6">
      <c r="B393" s="82">
        <v>479</v>
      </c>
      <c r="D393" s="84" t="s">
        <v>1216</v>
      </c>
      <c r="E393" s="84" t="s">
        <v>1217</v>
      </c>
      <c r="F393" s="84" t="s">
        <v>1217</v>
      </c>
    </row>
    <row r="394" spans="2:6">
      <c r="B394" s="82">
        <v>480</v>
      </c>
      <c r="D394" s="84" t="s">
        <v>1218</v>
      </c>
      <c r="E394" s="84" t="s">
        <v>1219</v>
      </c>
      <c r="F394" s="84" t="s">
        <v>1219</v>
      </c>
    </row>
    <row r="395" spans="2:6" ht="24">
      <c r="B395" s="82">
        <v>481</v>
      </c>
      <c r="D395" s="84" t="s">
        <v>1220</v>
      </c>
      <c r="E395" s="84" t="s">
        <v>1221</v>
      </c>
      <c r="F395" s="84" t="s">
        <v>1221</v>
      </c>
    </row>
    <row r="396" spans="2:6">
      <c r="B396" s="82">
        <v>482</v>
      </c>
      <c r="D396" s="84" t="s">
        <v>1222</v>
      </c>
      <c r="E396" s="84" t="s">
        <v>1223</v>
      </c>
      <c r="F396" s="84" t="s">
        <v>1223</v>
      </c>
    </row>
    <row r="397" spans="2:6">
      <c r="B397" s="82">
        <v>483</v>
      </c>
      <c r="D397" s="84" t="s">
        <v>1224</v>
      </c>
      <c r="E397" s="84" t="s">
        <v>1225</v>
      </c>
      <c r="F397" s="84" t="s">
        <v>1225</v>
      </c>
    </row>
    <row r="398" spans="2:6">
      <c r="B398" s="82">
        <v>484</v>
      </c>
      <c r="D398" s="84" t="s">
        <v>1226</v>
      </c>
      <c r="E398" s="84" t="s">
        <v>1227</v>
      </c>
      <c r="F398" s="84" t="s">
        <v>1227</v>
      </c>
    </row>
    <row r="399" spans="2:6">
      <c r="B399" s="82">
        <v>485</v>
      </c>
      <c r="D399" s="84" t="s">
        <v>1228</v>
      </c>
      <c r="E399" s="84" t="s">
        <v>1229</v>
      </c>
      <c r="F399" s="84" t="s">
        <v>1229</v>
      </c>
    </row>
    <row r="400" spans="2:6">
      <c r="B400" s="82">
        <v>486</v>
      </c>
      <c r="C400" s="83" t="s">
        <v>557</v>
      </c>
      <c r="D400" s="84" t="s">
        <v>1230</v>
      </c>
      <c r="E400" s="84" t="s">
        <v>1231</v>
      </c>
      <c r="F400" s="84" t="s">
        <v>1231</v>
      </c>
    </row>
    <row r="401" spans="2:6">
      <c r="B401" s="82">
        <v>487</v>
      </c>
      <c r="D401" s="84" t="s">
        <v>1232</v>
      </c>
      <c r="E401" s="84" t="s">
        <v>1233</v>
      </c>
      <c r="F401" s="84" t="s">
        <v>1233</v>
      </c>
    </row>
    <row r="402" spans="2:6">
      <c r="B402" s="82">
        <v>488</v>
      </c>
      <c r="C402" s="83" t="s">
        <v>1021</v>
      </c>
      <c r="D402" s="84" t="s">
        <v>1234</v>
      </c>
      <c r="E402" s="84" t="s">
        <v>1235</v>
      </c>
      <c r="F402" s="84" t="s">
        <v>1235</v>
      </c>
    </row>
    <row r="403" spans="2:6">
      <c r="B403" s="82">
        <v>489</v>
      </c>
      <c r="C403" s="83" t="s">
        <v>1021</v>
      </c>
      <c r="D403" s="84" t="s">
        <v>1236</v>
      </c>
      <c r="E403" s="84" t="s">
        <v>1237</v>
      </c>
      <c r="F403" s="84" t="s">
        <v>1237</v>
      </c>
    </row>
    <row r="404" spans="2:6">
      <c r="B404" s="82">
        <v>490</v>
      </c>
      <c r="D404" s="84" t="s">
        <v>1238</v>
      </c>
      <c r="E404" s="84" t="s">
        <v>1239</v>
      </c>
      <c r="F404" s="84" t="s">
        <v>1239</v>
      </c>
    </row>
    <row r="405" spans="2:6">
      <c r="B405" s="82">
        <v>491</v>
      </c>
      <c r="D405" s="84" t="s">
        <v>1240</v>
      </c>
      <c r="E405" s="84" t="s">
        <v>1241</v>
      </c>
      <c r="F405" s="84" t="s">
        <v>1241</v>
      </c>
    </row>
    <row r="406" spans="2:6">
      <c r="B406" s="82">
        <v>492</v>
      </c>
      <c r="C406" s="83" t="s">
        <v>502</v>
      </c>
      <c r="D406" s="84" t="s">
        <v>1242</v>
      </c>
      <c r="E406" s="84" t="s">
        <v>1243</v>
      </c>
      <c r="F406" s="84" t="s">
        <v>1243</v>
      </c>
    </row>
    <row r="407" spans="2:6">
      <c r="B407" s="82">
        <v>493</v>
      </c>
      <c r="D407" s="84" t="s">
        <v>1244</v>
      </c>
      <c r="E407" s="84" t="s">
        <v>1245</v>
      </c>
      <c r="F407" s="84" t="s">
        <v>1245</v>
      </c>
    </row>
    <row r="408" spans="2:6" ht="48">
      <c r="B408" s="82">
        <v>494</v>
      </c>
      <c r="D408" s="84" t="s">
        <v>1246</v>
      </c>
      <c r="E408" s="84" t="s">
        <v>1247</v>
      </c>
      <c r="F408" s="84" t="s">
        <v>1247</v>
      </c>
    </row>
    <row r="409" spans="2:6">
      <c r="B409" s="82">
        <v>495</v>
      </c>
      <c r="D409" s="84" t="s">
        <v>1248</v>
      </c>
      <c r="E409" s="84" t="s">
        <v>1249</v>
      </c>
      <c r="F409" s="84" t="s">
        <v>1249</v>
      </c>
    </row>
    <row r="410" spans="2:6" ht="24">
      <c r="B410" s="82">
        <v>496</v>
      </c>
      <c r="D410" s="84" t="s">
        <v>1250</v>
      </c>
      <c r="E410" s="84" t="s">
        <v>1251</v>
      </c>
      <c r="F410" s="84" t="s">
        <v>1251</v>
      </c>
    </row>
    <row r="411" spans="2:6" ht="24">
      <c r="B411" s="82">
        <v>497</v>
      </c>
      <c r="D411" s="84" t="s">
        <v>1252</v>
      </c>
      <c r="E411" s="84" t="s">
        <v>1253</v>
      </c>
      <c r="F411" s="84" t="s">
        <v>1253</v>
      </c>
    </row>
    <row r="412" spans="2:6" ht="24">
      <c r="B412" s="82">
        <v>498</v>
      </c>
      <c r="D412" s="84" t="s">
        <v>1254</v>
      </c>
      <c r="E412" s="84" t="s">
        <v>1255</v>
      </c>
      <c r="F412" s="84" t="s">
        <v>1255</v>
      </c>
    </row>
    <row r="413" spans="2:6" ht="24">
      <c r="B413" s="82">
        <v>499</v>
      </c>
      <c r="D413" s="84" t="s">
        <v>1256</v>
      </c>
      <c r="E413" s="84" t="s">
        <v>1257</v>
      </c>
      <c r="F413" s="84" t="s">
        <v>1257</v>
      </c>
    </row>
    <row r="414" spans="2:6" ht="24">
      <c r="B414" s="82">
        <v>500</v>
      </c>
      <c r="D414" s="84" t="s">
        <v>1258</v>
      </c>
      <c r="E414" s="84" t="s">
        <v>1259</v>
      </c>
      <c r="F414" s="84" t="s">
        <v>1259</v>
      </c>
    </row>
    <row r="415" spans="2:6" ht="24">
      <c r="B415" s="82">
        <v>501</v>
      </c>
      <c r="D415" s="84" t="s">
        <v>1260</v>
      </c>
      <c r="E415" s="84" t="s">
        <v>1261</v>
      </c>
      <c r="F415" s="84" t="s">
        <v>1261</v>
      </c>
    </row>
    <row r="416" spans="2:6" ht="24">
      <c r="B416" s="82">
        <v>502</v>
      </c>
      <c r="D416" s="84" t="s">
        <v>1262</v>
      </c>
      <c r="E416" s="84" t="s">
        <v>1263</v>
      </c>
      <c r="F416" s="84" t="s">
        <v>1263</v>
      </c>
    </row>
    <row r="417" spans="2:6" ht="24">
      <c r="B417" s="82">
        <v>503</v>
      </c>
      <c r="D417" s="84" t="s">
        <v>1264</v>
      </c>
      <c r="E417" s="84" t="s">
        <v>1265</v>
      </c>
      <c r="F417" s="84" t="s">
        <v>1265</v>
      </c>
    </row>
    <row r="418" spans="2:6" ht="24">
      <c r="B418" s="82">
        <v>504</v>
      </c>
      <c r="D418" s="84" t="s">
        <v>1266</v>
      </c>
      <c r="E418" s="84" t="s">
        <v>1267</v>
      </c>
      <c r="F418" s="84" t="s">
        <v>1267</v>
      </c>
    </row>
    <row r="419" spans="2:6" ht="24">
      <c r="B419" s="82">
        <v>505</v>
      </c>
      <c r="D419" s="84" t="s">
        <v>1268</v>
      </c>
      <c r="E419" s="84" t="s">
        <v>1269</v>
      </c>
      <c r="F419" s="84" t="s">
        <v>1269</v>
      </c>
    </row>
    <row r="420" spans="2:6" ht="24">
      <c r="B420" s="82">
        <v>506</v>
      </c>
      <c r="D420" s="84" t="s">
        <v>1270</v>
      </c>
      <c r="E420" s="84" t="s">
        <v>1271</v>
      </c>
      <c r="F420" s="84" t="s">
        <v>1271</v>
      </c>
    </row>
    <row r="421" spans="2:6" ht="24">
      <c r="B421" s="82">
        <v>507</v>
      </c>
      <c r="D421" s="84" t="s">
        <v>1272</v>
      </c>
      <c r="E421" s="84" t="s">
        <v>1273</v>
      </c>
      <c r="F421" s="84" t="s">
        <v>1273</v>
      </c>
    </row>
    <row r="422" spans="2:6" ht="24">
      <c r="B422" s="82">
        <v>508</v>
      </c>
      <c r="D422" s="84" t="s">
        <v>1274</v>
      </c>
      <c r="E422" s="84" t="s">
        <v>1275</v>
      </c>
      <c r="F422" s="84" t="s">
        <v>1275</v>
      </c>
    </row>
    <row r="423" spans="2:6" ht="24">
      <c r="B423" s="82">
        <v>509</v>
      </c>
      <c r="D423" s="84" t="s">
        <v>1276</v>
      </c>
      <c r="E423" s="84" t="s">
        <v>1277</v>
      </c>
      <c r="F423" s="84" t="s">
        <v>1277</v>
      </c>
    </row>
    <row r="424" spans="2:6" ht="24">
      <c r="B424" s="82">
        <v>510</v>
      </c>
      <c r="D424" s="84" t="s">
        <v>1278</v>
      </c>
      <c r="E424" s="84" t="s">
        <v>1279</v>
      </c>
      <c r="F424" s="84" t="s">
        <v>1279</v>
      </c>
    </row>
    <row r="425" spans="2:6" ht="24">
      <c r="B425" s="82">
        <v>511</v>
      </c>
      <c r="D425" s="84" t="s">
        <v>1280</v>
      </c>
      <c r="E425" s="84" t="s">
        <v>1281</v>
      </c>
      <c r="F425" s="84" t="s">
        <v>1281</v>
      </c>
    </row>
    <row r="426" spans="2:6" ht="24">
      <c r="B426" s="82">
        <v>512</v>
      </c>
      <c r="D426" s="84" t="s">
        <v>1282</v>
      </c>
      <c r="E426" s="84" t="s">
        <v>1283</v>
      </c>
      <c r="F426" s="84" t="s">
        <v>1283</v>
      </c>
    </row>
    <row r="427" spans="2:6" ht="24">
      <c r="B427" s="82">
        <v>513</v>
      </c>
      <c r="D427" s="84" t="s">
        <v>1284</v>
      </c>
      <c r="E427" s="84" t="s">
        <v>1285</v>
      </c>
      <c r="F427" s="84" t="s">
        <v>1285</v>
      </c>
    </row>
    <row r="428" spans="2:6" ht="24">
      <c r="B428" s="82">
        <v>514</v>
      </c>
      <c r="D428" s="84" t="s">
        <v>1286</v>
      </c>
      <c r="E428" s="84" t="s">
        <v>1287</v>
      </c>
      <c r="F428" s="84" t="s">
        <v>1287</v>
      </c>
    </row>
    <row r="429" spans="2:6" ht="24">
      <c r="B429" s="82">
        <v>515</v>
      </c>
      <c r="D429" s="84" t="s">
        <v>1288</v>
      </c>
      <c r="E429" s="84" t="s">
        <v>1289</v>
      </c>
      <c r="F429" s="84" t="s">
        <v>1289</v>
      </c>
    </row>
    <row r="430" spans="2:6" ht="24">
      <c r="B430" s="82">
        <v>516</v>
      </c>
      <c r="D430" s="84" t="s">
        <v>1290</v>
      </c>
      <c r="E430" s="84" t="s">
        <v>1291</v>
      </c>
      <c r="F430" s="84" t="s">
        <v>1291</v>
      </c>
    </row>
    <row r="431" spans="2:6" ht="24">
      <c r="B431" s="82">
        <v>517</v>
      </c>
      <c r="D431" s="84" t="s">
        <v>1292</v>
      </c>
      <c r="E431" s="84" t="s">
        <v>1293</v>
      </c>
      <c r="F431" s="84" t="s">
        <v>1293</v>
      </c>
    </row>
    <row r="432" spans="2:6" ht="24">
      <c r="B432" s="82">
        <v>518</v>
      </c>
      <c r="D432" s="84" t="s">
        <v>1294</v>
      </c>
      <c r="E432" s="84" t="s">
        <v>1293</v>
      </c>
      <c r="F432" s="84" t="s">
        <v>1293</v>
      </c>
    </row>
    <row r="433" spans="1:27" ht="24">
      <c r="B433" s="82">
        <v>519</v>
      </c>
      <c r="D433" s="84" t="s">
        <v>1295</v>
      </c>
      <c r="E433" s="84" t="s">
        <v>1296</v>
      </c>
      <c r="F433" s="84" t="s">
        <v>1296</v>
      </c>
    </row>
    <row r="434" spans="1:27" ht="24">
      <c r="B434" s="82">
        <v>520</v>
      </c>
      <c r="D434" s="84" t="s">
        <v>1297</v>
      </c>
      <c r="E434" s="84" t="s">
        <v>1298</v>
      </c>
      <c r="F434" s="84" t="s">
        <v>1298</v>
      </c>
    </row>
    <row r="435" spans="1:27" ht="24">
      <c r="B435" s="82">
        <v>521</v>
      </c>
      <c r="D435" s="84" t="s">
        <v>1299</v>
      </c>
      <c r="E435" s="84" t="s">
        <v>1300</v>
      </c>
      <c r="F435" s="84" t="s">
        <v>1300</v>
      </c>
    </row>
    <row r="436" spans="1:27" ht="24">
      <c r="B436" s="82">
        <v>522</v>
      </c>
      <c r="D436" s="84" t="s">
        <v>1301</v>
      </c>
      <c r="E436" s="84" t="s">
        <v>1302</v>
      </c>
      <c r="F436" s="84" t="s">
        <v>1302</v>
      </c>
    </row>
    <row r="437" spans="1:27" ht="24">
      <c r="B437" s="82">
        <v>523</v>
      </c>
      <c r="D437" s="84" t="s">
        <v>1303</v>
      </c>
      <c r="E437" s="84" t="s">
        <v>1304</v>
      </c>
      <c r="F437" s="84" t="s">
        <v>1304</v>
      </c>
    </row>
    <row r="438" spans="1:27" s="135" customFormat="1" ht="24">
      <c r="A438" s="81"/>
      <c r="B438" s="82">
        <v>524</v>
      </c>
      <c r="C438" s="83"/>
      <c r="D438" s="84" t="s">
        <v>1305</v>
      </c>
      <c r="E438" s="84" t="s">
        <v>1306</v>
      </c>
      <c r="F438" s="84" t="s">
        <v>1306</v>
      </c>
      <c r="G438" s="81"/>
      <c r="H438" s="81"/>
      <c r="I438" s="81"/>
      <c r="J438" s="81"/>
      <c r="K438" s="81"/>
      <c r="L438" s="81"/>
      <c r="M438" s="81"/>
      <c r="N438" s="81"/>
      <c r="O438" s="81"/>
      <c r="P438" s="81"/>
      <c r="Q438" s="81"/>
      <c r="R438" s="81"/>
      <c r="S438" s="81"/>
      <c r="T438" s="81"/>
      <c r="U438" s="81"/>
      <c r="V438" s="81"/>
      <c r="W438" s="81"/>
      <c r="X438" s="81"/>
      <c r="Y438" s="81"/>
      <c r="Z438" s="81"/>
      <c r="AA438" s="81"/>
    </row>
    <row r="439" spans="1:27" s="135" customFormat="1">
      <c r="A439" s="81"/>
      <c r="B439" s="82">
        <v>525</v>
      </c>
      <c r="C439" s="83"/>
      <c r="D439" s="84" t="s">
        <v>1307</v>
      </c>
      <c r="E439" s="84" t="s">
        <v>1308</v>
      </c>
      <c r="F439" s="84" t="s">
        <v>1308</v>
      </c>
      <c r="G439" s="81"/>
      <c r="H439" s="81"/>
      <c r="I439" s="81"/>
      <c r="J439" s="81"/>
      <c r="K439" s="81"/>
      <c r="L439" s="81"/>
      <c r="M439" s="81"/>
      <c r="N439" s="81"/>
      <c r="O439" s="81"/>
      <c r="P439" s="81"/>
      <c r="Q439" s="81"/>
      <c r="R439" s="81"/>
      <c r="S439" s="81"/>
      <c r="T439" s="81"/>
      <c r="U439" s="81"/>
      <c r="V439" s="81"/>
      <c r="W439" s="81"/>
      <c r="X439" s="81"/>
      <c r="Y439" s="81"/>
      <c r="Z439" s="81"/>
      <c r="AA439" s="81"/>
    </row>
    <row r="440" spans="1:27" s="136" customFormat="1" ht="36">
      <c r="A440" s="81"/>
      <c r="B440" s="82">
        <v>526</v>
      </c>
      <c r="C440" s="83"/>
      <c r="D440" s="84" t="s">
        <v>1309</v>
      </c>
      <c r="E440" s="84" t="s">
        <v>1310</v>
      </c>
      <c r="F440" s="84" t="s">
        <v>1310</v>
      </c>
      <c r="G440" s="81"/>
      <c r="H440" s="81"/>
      <c r="I440" s="81"/>
      <c r="J440" s="81"/>
      <c r="K440" s="81"/>
      <c r="L440" s="81"/>
      <c r="M440" s="81"/>
      <c r="N440" s="81"/>
      <c r="O440" s="81"/>
      <c r="P440" s="81"/>
      <c r="Q440" s="81"/>
      <c r="R440" s="81"/>
      <c r="S440" s="81"/>
      <c r="T440" s="81"/>
      <c r="U440" s="81"/>
      <c r="V440" s="81"/>
      <c r="W440" s="81"/>
      <c r="X440" s="81"/>
      <c r="Y440" s="81"/>
      <c r="Z440" s="81"/>
      <c r="AA440" s="81"/>
    </row>
    <row r="441" spans="1:27" s="136" customFormat="1">
      <c r="A441" s="81"/>
      <c r="B441" s="82">
        <v>527</v>
      </c>
      <c r="C441" s="83"/>
      <c r="D441" s="84" t="s">
        <v>1311</v>
      </c>
      <c r="E441" s="84" t="s">
        <v>1312</v>
      </c>
      <c r="F441" s="84" t="s">
        <v>1312</v>
      </c>
      <c r="G441" s="81"/>
      <c r="H441" s="81"/>
      <c r="I441" s="81"/>
      <c r="J441" s="81"/>
      <c r="K441" s="81"/>
      <c r="L441" s="81"/>
      <c r="M441" s="81"/>
      <c r="N441" s="81"/>
      <c r="O441" s="81"/>
      <c r="P441" s="81"/>
      <c r="Q441" s="81"/>
      <c r="R441" s="81"/>
      <c r="S441" s="81"/>
      <c r="T441" s="81"/>
      <c r="U441" s="81"/>
      <c r="V441" s="81"/>
      <c r="W441" s="81"/>
      <c r="X441" s="81"/>
      <c r="Y441" s="81"/>
      <c r="Z441" s="81"/>
      <c r="AA441" s="81"/>
    </row>
    <row r="442" spans="1:27" s="136" customFormat="1" ht="36">
      <c r="A442" s="81"/>
      <c r="B442" s="82">
        <v>528</v>
      </c>
      <c r="C442" s="83"/>
      <c r="D442" s="84" t="s">
        <v>1313</v>
      </c>
      <c r="E442" s="84" t="s">
        <v>1314</v>
      </c>
      <c r="F442" s="84" t="s">
        <v>1314</v>
      </c>
      <c r="G442" s="81"/>
      <c r="H442" s="81"/>
      <c r="I442" s="81"/>
      <c r="J442" s="81"/>
      <c r="K442" s="81"/>
      <c r="L442" s="81"/>
      <c r="M442" s="81"/>
      <c r="N442" s="81"/>
      <c r="O442" s="81"/>
      <c r="P442" s="81"/>
      <c r="Q442" s="81"/>
      <c r="R442" s="81"/>
      <c r="S442" s="81"/>
      <c r="T442" s="81"/>
      <c r="U442" s="81"/>
      <c r="V442" s="81"/>
      <c r="W442" s="81"/>
      <c r="X442" s="81"/>
      <c r="Y442" s="81"/>
      <c r="Z442" s="81"/>
      <c r="AA442" s="81"/>
    </row>
    <row r="443" spans="1:27" s="136" customFormat="1" ht="24">
      <c r="A443" s="81"/>
      <c r="B443" s="82">
        <v>529</v>
      </c>
      <c r="C443" s="83"/>
      <c r="D443" s="84" t="s">
        <v>1315</v>
      </c>
      <c r="E443" s="84" t="s">
        <v>1316</v>
      </c>
      <c r="F443" s="84" t="s">
        <v>1316</v>
      </c>
      <c r="G443" s="81"/>
      <c r="H443" s="81"/>
      <c r="I443" s="81"/>
      <c r="J443" s="81"/>
      <c r="K443" s="81"/>
      <c r="L443" s="81"/>
      <c r="M443" s="81"/>
      <c r="N443" s="81"/>
      <c r="O443" s="81"/>
      <c r="P443" s="81"/>
      <c r="Q443" s="81"/>
      <c r="R443" s="81"/>
      <c r="S443" s="81"/>
      <c r="T443" s="81"/>
      <c r="U443" s="81"/>
      <c r="V443" s="81"/>
      <c r="W443" s="81"/>
      <c r="X443" s="81"/>
      <c r="Y443" s="81"/>
      <c r="Z443" s="81"/>
      <c r="AA443" s="81"/>
    </row>
    <row r="444" spans="1:27" s="136" customFormat="1" ht="24">
      <c r="A444" s="81"/>
      <c r="B444" s="82">
        <v>530</v>
      </c>
      <c r="C444" s="83"/>
      <c r="D444" s="84" t="s">
        <v>1317</v>
      </c>
      <c r="E444" s="84" t="s">
        <v>1318</v>
      </c>
      <c r="F444" s="84" t="s">
        <v>1318</v>
      </c>
      <c r="G444" s="81"/>
      <c r="H444" s="81"/>
      <c r="I444" s="81"/>
      <c r="J444" s="81"/>
      <c r="K444" s="81"/>
      <c r="L444" s="81"/>
      <c r="M444" s="81"/>
      <c r="N444" s="81"/>
      <c r="O444" s="81"/>
      <c r="P444" s="81"/>
      <c r="Q444" s="81"/>
      <c r="R444" s="81"/>
      <c r="S444" s="81"/>
      <c r="T444" s="81"/>
      <c r="U444" s="81"/>
      <c r="V444" s="81"/>
      <c r="W444" s="81"/>
      <c r="X444" s="81"/>
      <c r="Y444" s="81"/>
      <c r="Z444" s="81"/>
      <c r="AA444" s="81"/>
    </row>
    <row r="445" spans="1:27" s="136" customFormat="1" ht="24">
      <c r="A445" s="81"/>
      <c r="B445" s="82">
        <v>531</v>
      </c>
      <c r="C445" s="83"/>
      <c r="D445" s="84" t="s">
        <v>1319</v>
      </c>
      <c r="E445" s="84" t="s">
        <v>1320</v>
      </c>
      <c r="F445" s="84" t="s">
        <v>1320</v>
      </c>
      <c r="G445" s="81"/>
      <c r="H445" s="81"/>
      <c r="I445" s="81"/>
      <c r="J445" s="81"/>
      <c r="K445" s="81"/>
      <c r="L445" s="81"/>
      <c r="M445" s="81"/>
      <c r="N445" s="81"/>
      <c r="O445" s="81"/>
      <c r="P445" s="81"/>
      <c r="Q445" s="81"/>
      <c r="R445" s="81"/>
      <c r="S445" s="81"/>
      <c r="T445" s="81"/>
      <c r="U445" s="81"/>
      <c r="V445" s="81"/>
      <c r="W445" s="81"/>
      <c r="X445" s="81"/>
      <c r="Y445" s="81"/>
      <c r="Z445" s="81"/>
      <c r="AA445" s="81"/>
    </row>
    <row r="446" spans="1:27" s="136" customFormat="1" ht="24">
      <c r="A446" s="81"/>
      <c r="B446" s="82">
        <v>532</v>
      </c>
      <c r="C446" s="83"/>
      <c r="D446" s="84" t="s">
        <v>1321</v>
      </c>
      <c r="E446" s="84" t="s">
        <v>1322</v>
      </c>
      <c r="F446" s="84" t="s">
        <v>1322</v>
      </c>
      <c r="G446" s="81"/>
      <c r="H446" s="81"/>
      <c r="I446" s="81"/>
      <c r="J446" s="81"/>
      <c r="K446" s="81"/>
      <c r="L446" s="81"/>
      <c r="M446" s="81"/>
      <c r="N446" s="81"/>
      <c r="O446" s="81"/>
      <c r="P446" s="81"/>
      <c r="Q446" s="81"/>
      <c r="R446" s="81"/>
      <c r="S446" s="81"/>
      <c r="T446" s="81"/>
      <c r="U446" s="81"/>
      <c r="V446" s="81"/>
      <c r="W446" s="81"/>
      <c r="X446" s="81"/>
      <c r="Y446" s="81"/>
      <c r="Z446" s="81"/>
      <c r="AA446" s="81"/>
    </row>
    <row r="447" spans="1:27" s="136" customFormat="1">
      <c r="A447" s="81"/>
      <c r="B447" s="82">
        <v>533</v>
      </c>
      <c r="C447" s="83"/>
      <c r="D447" s="84" t="s">
        <v>1323</v>
      </c>
      <c r="E447" s="84" t="s">
        <v>1324</v>
      </c>
      <c r="F447" s="84" t="s">
        <v>1324</v>
      </c>
      <c r="G447" s="81"/>
      <c r="H447" s="81"/>
      <c r="I447" s="81"/>
      <c r="J447" s="81"/>
      <c r="K447" s="81"/>
      <c r="L447" s="81"/>
      <c r="M447" s="81"/>
      <c r="N447" s="81"/>
      <c r="O447" s="81"/>
      <c r="P447" s="81"/>
      <c r="Q447" s="81"/>
      <c r="R447" s="81"/>
      <c r="S447" s="81"/>
      <c r="T447" s="81"/>
      <c r="U447" s="81"/>
      <c r="V447" s="81"/>
      <c r="W447" s="81"/>
      <c r="X447" s="81"/>
      <c r="Y447" s="81"/>
      <c r="Z447" s="81"/>
      <c r="AA447" s="81"/>
    </row>
    <row r="448" spans="1:27" s="136" customFormat="1">
      <c r="A448" s="81"/>
      <c r="B448" s="82">
        <v>534</v>
      </c>
      <c r="C448" s="83"/>
      <c r="D448" s="84" t="s">
        <v>1325</v>
      </c>
      <c r="E448" s="84" t="s">
        <v>1326</v>
      </c>
      <c r="F448" s="84" t="s">
        <v>1326</v>
      </c>
      <c r="G448" s="81"/>
      <c r="H448" s="81"/>
      <c r="I448" s="81"/>
      <c r="J448" s="81"/>
      <c r="K448" s="81"/>
      <c r="L448" s="81"/>
      <c r="M448" s="81"/>
      <c r="N448" s="81"/>
      <c r="O448" s="81"/>
      <c r="P448" s="81"/>
      <c r="Q448" s="81"/>
      <c r="R448" s="81"/>
      <c r="S448" s="81"/>
      <c r="T448" s="81"/>
      <c r="U448" s="81"/>
      <c r="V448" s="81"/>
      <c r="W448" s="81"/>
      <c r="X448" s="81"/>
      <c r="Y448" s="81"/>
      <c r="Z448" s="81"/>
      <c r="AA448" s="81"/>
    </row>
    <row r="449" spans="1:27" s="136" customFormat="1" ht="24">
      <c r="A449" s="81"/>
      <c r="B449" s="82">
        <v>535</v>
      </c>
      <c r="C449" s="83"/>
      <c r="D449" s="84" t="s">
        <v>1327</v>
      </c>
      <c r="E449" s="84" t="s">
        <v>1328</v>
      </c>
      <c r="F449" s="84" t="s">
        <v>1328</v>
      </c>
      <c r="G449" s="81"/>
      <c r="H449" s="81"/>
      <c r="I449" s="81"/>
      <c r="J449" s="81"/>
      <c r="K449" s="81"/>
      <c r="L449" s="81"/>
      <c r="M449" s="81"/>
      <c r="N449" s="81"/>
      <c r="O449" s="81"/>
      <c r="P449" s="81"/>
      <c r="Q449" s="81"/>
      <c r="R449" s="81"/>
      <c r="S449" s="81"/>
      <c r="T449" s="81"/>
      <c r="U449" s="81"/>
      <c r="V449" s="81"/>
      <c r="W449" s="81"/>
      <c r="X449" s="81"/>
      <c r="Y449" s="81"/>
      <c r="Z449" s="81"/>
      <c r="AA449" s="81"/>
    </row>
    <row r="450" spans="1:27" s="136" customFormat="1">
      <c r="A450" s="81"/>
      <c r="B450" s="82">
        <v>536</v>
      </c>
      <c r="C450" s="83"/>
      <c r="D450" s="84" t="s">
        <v>1329</v>
      </c>
      <c r="E450" s="84" t="s">
        <v>1330</v>
      </c>
      <c r="F450" s="84" t="s">
        <v>1330</v>
      </c>
      <c r="G450" s="81"/>
      <c r="H450" s="81"/>
      <c r="I450" s="81"/>
      <c r="J450" s="81"/>
      <c r="K450" s="81"/>
      <c r="L450" s="81"/>
      <c r="M450" s="81"/>
      <c r="N450" s="81"/>
      <c r="O450" s="81"/>
      <c r="P450" s="81"/>
      <c r="Q450" s="81"/>
      <c r="R450" s="81"/>
      <c r="S450" s="81"/>
      <c r="T450" s="81"/>
      <c r="U450" s="81"/>
      <c r="V450" s="81"/>
      <c r="W450" s="81"/>
      <c r="X450" s="81"/>
      <c r="Y450" s="81"/>
      <c r="Z450" s="81"/>
      <c r="AA450" s="81"/>
    </row>
    <row r="451" spans="1:27">
      <c r="B451" s="82">
        <v>537</v>
      </c>
      <c r="D451" s="84" t="s">
        <v>1331</v>
      </c>
      <c r="E451" s="84" t="s">
        <v>1332</v>
      </c>
      <c r="F451" s="84" t="s">
        <v>1332</v>
      </c>
    </row>
    <row r="452" spans="1:27">
      <c r="B452" s="82">
        <v>538</v>
      </c>
      <c r="D452" s="84" t="s">
        <v>1333</v>
      </c>
      <c r="E452" s="84" t="s">
        <v>1334</v>
      </c>
      <c r="F452" s="84" t="s">
        <v>1334</v>
      </c>
    </row>
    <row r="453" spans="1:27" ht="24">
      <c r="B453" s="82">
        <v>539</v>
      </c>
      <c r="D453" s="84" t="s">
        <v>1335</v>
      </c>
      <c r="E453" s="84" t="s">
        <v>1336</v>
      </c>
      <c r="F453" s="84" t="s">
        <v>1336</v>
      </c>
    </row>
    <row r="454" spans="1:27" ht="48">
      <c r="A454" s="135"/>
      <c r="B454" s="82">
        <v>540</v>
      </c>
      <c r="C454" s="141" t="s">
        <v>548</v>
      </c>
      <c r="D454" s="135" t="s">
        <v>1337</v>
      </c>
      <c r="E454" s="135" t="s">
        <v>1338</v>
      </c>
      <c r="F454" s="135" t="s">
        <v>1338</v>
      </c>
    </row>
    <row r="455" spans="1:27" ht="36">
      <c r="B455" s="82">
        <v>541</v>
      </c>
      <c r="D455" s="84" t="s">
        <v>1339</v>
      </c>
      <c r="E455" s="84" t="s">
        <v>1340</v>
      </c>
      <c r="F455" s="84" t="s">
        <v>1340</v>
      </c>
    </row>
    <row r="456" spans="1:27">
      <c r="B456" s="82">
        <v>542</v>
      </c>
      <c r="D456" s="84" t="s">
        <v>1341</v>
      </c>
      <c r="E456" s="84" t="s">
        <v>1342</v>
      </c>
      <c r="F456" s="84" t="s">
        <v>1342</v>
      </c>
    </row>
    <row r="457" spans="1:27">
      <c r="B457" s="82">
        <v>543</v>
      </c>
      <c r="D457" s="84" t="s">
        <v>1343</v>
      </c>
      <c r="E457" s="84" t="s">
        <v>1344</v>
      </c>
      <c r="F457" s="84" t="s">
        <v>1344</v>
      </c>
    </row>
    <row r="458" spans="1:27">
      <c r="B458" s="82">
        <v>544</v>
      </c>
      <c r="D458" s="84" t="s">
        <v>1345</v>
      </c>
      <c r="E458" s="84" t="s">
        <v>1346</v>
      </c>
      <c r="F458" s="84" t="s">
        <v>1346</v>
      </c>
    </row>
    <row r="459" spans="1:27" ht="24">
      <c r="B459" s="82">
        <v>545</v>
      </c>
      <c r="D459" s="84" t="s">
        <v>1347</v>
      </c>
      <c r="E459" s="84" t="s">
        <v>1348</v>
      </c>
      <c r="F459" s="84" t="s">
        <v>1348</v>
      </c>
    </row>
    <row r="460" spans="1:27">
      <c r="B460" s="82">
        <v>546</v>
      </c>
      <c r="D460" s="84" t="s">
        <v>1349</v>
      </c>
      <c r="E460" s="84" t="s">
        <v>1350</v>
      </c>
      <c r="F460" s="84" t="s">
        <v>1350</v>
      </c>
    </row>
    <row r="461" spans="1:27">
      <c r="B461" s="82">
        <v>547</v>
      </c>
      <c r="D461" s="84" t="s">
        <v>1351</v>
      </c>
      <c r="E461" s="84" t="s">
        <v>1352</v>
      </c>
      <c r="F461" s="84" t="s">
        <v>1352</v>
      </c>
    </row>
    <row r="462" spans="1:27">
      <c r="B462" s="82">
        <v>548</v>
      </c>
      <c r="D462" s="84" t="s">
        <v>1353</v>
      </c>
      <c r="E462" s="84" t="s">
        <v>1354</v>
      </c>
      <c r="F462" s="84" t="s">
        <v>1354</v>
      </c>
    </row>
    <row r="463" spans="1:27" ht="24">
      <c r="B463" s="82">
        <v>549</v>
      </c>
      <c r="D463" s="84" t="s">
        <v>1355</v>
      </c>
      <c r="E463" s="84" t="s">
        <v>1356</v>
      </c>
      <c r="F463" s="84" t="s">
        <v>1356</v>
      </c>
    </row>
    <row r="464" spans="1:27">
      <c r="B464" s="82">
        <v>550</v>
      </c>
      <c r="D464" s="84" t="s">
        <v>1357</v>
      </c>
      <c r="E464" s="84" t="s">
        <v>1358</v>
      </c>
      <c r="F464" s="84" t="s">
        <v>1358</v>
      </c>
    </row>
    <row r="465" spans="2:6" ht="24">
      <c r="B465" s="82">
        <v>551</v>
      </c>
      <c r="D465" s="84" t="s">
        <v>1359</v>
      </c>
      <c r="E465" s="84" t="s">
        <v>1360</v>
      </c>
      <c r="F465" s="84" t="s">
        <v>1360</v>
      </c>
    </row>
    <row r="466" spans="2:6">
      <c r="B466" s="82">
        <v>552</v>
      </c>
      <c r="D466" s="84" t="s">
        <v>1361</v>
      </c>
      <c r="E466" s="84" t="s">
        <v>1362</v>
      </c>
      <c r="F466" s="84" t="s">
        <v>1362</v>
      </c>
    </row>
    <row r="467" spans="2:6" ht="24">
      <c r="B467" s="82">
        <v>553</v>
      </c>
      <c r="D467" s="84" t="s">
        <v>1363</v>
      </c>
      <c r="E467" s="84" t="s">
        <v>1364</v>
      </c>
      <c r="F467" s="84" t="s">
        <v>1364</v>
      </c>
    </row>
    <row r="468" spans="2:6" ht="24">
      <c r="B468" s="82">
        <v>554</v>
      </c>
      <c r="D468" s="84" t="s">
        <v>1365</v>
      </c>
      <c r="E468" s="84" t="s">
        <v>1366</v>
      </c>
      <c r="F468" s="84" t="s">
        <v>1366</v>
      </c>
    </row>
    <row r="469" spans="2:6" ht="24">
      <c r="B469" s="82">
        <v>555</v>
      </c>
      <c r="D469" s="84" t="s">
        <v>1367</v>
      </c>
      <c r="E469" s="84" t="s">
        <v>1368</v>
      </c>
      <c r="F469" s="84" t="s">
        <v>1368</v>
      </c>
    </row>
    <row r="470" spans="2:6">
      <c r="B470" s="82">
        <v>556</v>
      </c>
      <c r="D470" s="84" t="s">
        <v>1369</v>
      </c>
      <c r="E470" s="84" t="s">
        <v>1370</v>
      </c>
      <c r="F470" s="84" t="s">
        <v>1370</v>
      </c>
    </row>
    <row r="471" spans="2:6">
      <c r="B471" s="82">
        <v>557</v>
      </c>
      <c r="C471" s="83" t="s">
        <v>1021</v>
      </c>
      <c r="D471" s="84" t="s">
        <v>1371</v>
      </c>
      <c r="E471" s="84" t="s">
        <v>1372</v>
      </c>
      <c r="F471" s="84" t="s">
        <v>1372</v>
      </c>
    </row>
    <row r="472" spans="2:6" ht="24">
      <c r="B472" s="82">
        <v>558</v>
      </c>
      <c r="C472" s="83" t="s">
        <v>1021</v>
      </c>
      <c r="D472" s="84" t="s">
        <v>1373</v>
      </c>
      <c r="E472" s="84" t="s">
        <v>1374</v>
      </c>
      <c r="F472" s="84" t="s">
        <v>1374</v>
      </c>
    </row>
    <row r="473" spans="2:6">
      <c r="B473" s="82">
        <v>559</v>
      </c>
      <c r="D473" s="84" t="s">
        <v>1375</v>
      </c>
      <c r="E473" s="84" t="s">
        <v>1376</v>
      </c>
      <c r="F473" s="84" t="s">
        <v>1376</v>
      </c>
    </row>
    <row r="474" spans="2:6">
      <c r="B474" s="82">
        <v>560</v>
      </c>
      <c r="D474" s="84" t="s">
        <v>1377</v>
      </c>
      <c r="E474" s="84" t="s">
        <v>1378</v>
      </c>
      <c r="F474" s="84" t="s">
        <v>1378</v>
      </c>
    </row>
    <row r="475" spans="2:6" ht="36">
      <c r="B475" s="82">
        <v>561</v>
      </c>
      <c r="D475" s="84" t="s">
        <v>1379</v>
      </c>
      <c r="E475" s="84" t="s">
        <v>1380</v>
      </c>
      <c r="F475" s="84" t="s">
        <v>1380</v>
      </c>
    </row>
    <row r="476" spans="2:6">
      <c r="B476" s="82">
        <v>562</v>
      </c>
      <c r="D476" s="84" t="s">
        <v>1381</v>
      </c>
      <c r="E476" s="84" t="s">
        <v>1382</v>
      </c>
      <c r="F476" s="84" t="s">
        <v>1382</v>
      </c>
    </row>
    <row r="477" spans="2:6">
      <c r="B477" s="82">
        <v>563</v>
      </c>
      <c r="D477" s="84" t="s">
        <v>1383</v>
      </c>
      <c r="E477" s="84" t="s">
        <v>1384</v>
      </c>
      <c r="F477" s="84" t="s">
        <v>1384</v>
      </c>
    </row>
    <row r="478" spans="2:6">
      <c r="B478" s="82">
        <v>564</v>
      </c>
      <c r="D478" s="84" t="s">
        <v>1385</v>
      </c>
      <c r="E478" s="84" t="s">
        <v>1386</v>
      </c>
      <c r="F478" s="84" t="s">
        <v>1386</v>
      </c>
    </row>
    <row r="479" spans="2:6">
      <c r="B479" s="82">
        <v>565</v>
      </c>
      <c r="D479" s="84" t="s">
        <v>1387</v>
      </c>
      <c r="E479" s="84" t="s">
        <v>1388</v>
      </c>
      <c r="F479" s="84" t="s">
        <v>1388</v>
      </c>
    </row>
    <row r="480" spans="2:6">
      <c r="B480" s="82">
        <v>566</v>
      </c>
      <c r="D480" s="84" t="s">
        <v>1389</v>
      </c>
      <c r="E480" s="84" t="s">
        <v>1390</v>
      </c>
      <c r="F480" s="84" t="s">
        <v>1390</v>
      </c>
    </row>
    <row r="481" spans="2:6" ht="36">
      <c r="B481" s="82">
        <v>567</v>
      </c>
      <c r="D481" s="84" t="s">
        <v>1391</v>
      </c>
      <c r="E481" s="84" t="s">
        <v>1392</v>
      </c>
      <c r="F481" s="84" t="s">
        <v>1392</v>
      </c>
    </row>
    <row r="482" spans="2:6" ht="24">
      <c r="B482" s="82">
        <v>568</v>
      </c>
      <c r="D482" s="84" t="s">
        <v>1393</v>
      </c>
      <c r="E482" s="84" t="s">
        <v>1394</v>
      </c>
      <c r="F482" s="84" t="s">
        <v>1394</v>
      </c>
    </row>
    <row r="483" spans="2:6">
      <c r="B483" s="82">
        <v>569</v>
      </c>
      <c r="D483" s="84" t="s">
        <v>1395</v>
      </c>
      <c r="E483" s="84" t="s">
        <v>1396</v>
      </c>
      <c r="F483" s="84" t="s">
        <v>1396</v>
      </c>
    </row>
    <row r="484" spans="2:6">
      <c r="B484" s="82">
        <v>570</v>
      </c>
      <c r="D484" s="84" t="s">
        <v>1397</v>
      </c>
      <c r="E484" s="84" t="s">
        <v>1398</v>
      </c>
      <c r="F484" s="84" t="s">
        <v>1398</v>
      </c>
    </row>
    <row r="485" spans="2:6" ht="24">
      <c r="B485" s="82">
        <v>571</v>
      </c>
      <c r="D485" s="84" t="s">
        <v>1399</v>
      </c>
      <c r="E485" s="84" t="s">
        <v>1400</v>
      </c>
      <c r="F485" s="84" t="s">
        <v>1400</v>
      </c>
    </row>
    <row r="486" spans="2:6">
      <c r="B486" s="82">
        <v>572</v>
      </c>
      <c r="D486" s="84" t="s">
        <v>1401</v>
      </c>
      <c r="E486" s="84" t="s">
        <v>1402</v>
      </c>
      <c r="F486" s="84" t="s">
        <v>1402</v>
      </c>
    </row>
    <row r="487" spans="2:6">
      <c r="B487" s="82">
        <v>573</v>
      </c>
      <c r="D487" s="84" t="s">
        <v>1403</v>
      </c>
      <c r="E487" s="84" t="s">
        <v>1404</v>
      </c>
      <c r="F487" s="84" t="s">
        <v>1404</v>
      </c>
    </row>
    <row r="488" spans="2:6">
      <c r="B488" s="82">
        <v>574</v>
      </c>
      <c r="D488" s="84" t="s">
        <v>1405</v>
      </c>
      <c r="E488" s="84" t="s">
        <v>1406</v>
      </c>
      <c r="F488" s="84" t="s">
        <v>1406</v>
      </c>
    </row>
    <row r="489" spans="2:6">
      <c r="B489" s="82">
        <v>575</v>
      </c>
      <c r="D489" s="84" t="s">
        <v>1407</v>
      </c>
      <c r="E489" s="84" t="s">
        <v>1408</v>
      </c>
      <c r="F489" s="84" t="s">
        <v>1408</v>
      </c>
    </row>
    <row r="490" spans="2:6">
      <c r="B490" s="82">
        <v>576</v>
      </c>
      <c r="D490" s="84" t="s">
        <v>1409</v>
      </c>
      <c r="E490" s="84" t="s">
        <v>1410</v>
      </c>
      <c r="F490" s="84" t="s">
        <v>1410</v>
      </c>
    </row>
    <row r="491" spans="2:6">
      <c r="B491" s="82">
        <v>577</v>
      </c>
      <c r="D491" s="84" t="s">
        <v>1411</v>
      </c>
      <c r="E491" s="84" t="s">
        <v>1412</v>
      </c>
      <c r="F491" s="84" t="s">
        <v>1412</v>
      </c>
    </row>
    <row r="492" spans="2:6" ht="36">
      <c r="B492" s="82">
        <v>578</v>
      </c>
      <c r="D492" s="84" t="s">
        <v>1413</v>
      </c>
      <c r="E492" s="84" t="s">
        <v>1414</v>
      </c>
      <c r="F492" s="84" t="s">
        <v>1414</v>
      </c>
    </row>
    <row r="493" spans="2:6">
      <c r="B493" s="82">
        <v>579</v>
      </c>
      <c r="D493" s="84" t="s">
        <v>1415</v>
      </c>
      <c r="E493" s="84" t="s">
        <v>1416</v>
      </c>
      <c r="F493" s="84" t="s">
        <v>1416</v>
      </c>
    </row>
    <row r="494" spans="2:6">
      <c r="B494" s="82">
        <v>580</v>
      </c>
      <c r="D494" s="84" t="s">
        <v>1417</v>
      </c>
      <c r="E494" s="84" t="s">
        <v>1418</v>
      </c>
      <c r="F494" s="84" t="s">
        <v>1418</v>
      </c>
    </row>
    <row r="495" spans="2:6">
      <c r="B495" s="82">
        <v>581</v>
      </c>
      <c r="C495" s="83" t="s">
        <v>557</v>
      </c>
      <c r="D495" s="81" t="s">
        <v>1419</v>
      </c>
      <c r="E495" s="139" t="s">
        <v>1420</v>
      </c>
      <c r="F495" s="139" t="s">
        <v>1420</v>
      </c>
    </row>
    <row r="496" spans="2:6">
      <c r="B496" s="82">
        <v>582</v>
      </c>
      <c r="C496" s="83" t="s">
        <v>557</v>
      </c>
      <c r="D496" s="84" t="s">
        <v>1421</v>
      </c>
      <c r="E496" s="139" t="s">
        <v>1422</v>
      </c>
      <c r="F496" s="139" t="s">
        <v>1422</v>
      </c>
    </row>
    <row r="497" spans="1:6">
      <c r="B497" s="82">
        <v>583</v>
      </c>
      <c r="D497" s="84" t="s">
        <v>1423</v>
      </c>
      <c r="E497" s="84" t="s">
        <v>1424</v>
      </c>
      <c r="F497" s="84" t="s">
        <v>1424</v>
      </c>
    </row>
    <row r="498" spans="1:6" ht="36">
      <c r="B498" s="82">
        <v>584</v>
      </c>
      <c r="D498" s="84" t="s">
        <v>1425</v>
      </c>
      <c r="E498" s="84" t="s">
        <v>1426</v>
      </c>
      <c r="F498" s="84" t="s">
        <v>1426</v>
      </c>
    </row>
    <row r="499" spans="1:6">
      <c r="B499" s="82">
        <v>585</v>
      </c>
      <c r="D499" s="84" t="s">
        <v>1427</v>
      </c>
      <c r="E499" s="84" t="s">
        <v>1428</v>
      </c>
      <c r="F499" s="84" t="s">
        <v>1428</v>
      </c>
    </row>
    <row r="500" spans="1:6">
      <c r="A500" s="136"/>
      <c r="B500" s="82">
        <v>586</v>
      </c>
      <c r="C500" s="137" t="s">
        <v>498</v>
      </c>
      <c r="D500" s="135" t="s">
        <v>1429</v>
      </c>
      <c r="E500" s="135" t="s">
        <v>1430</v>
      </c>
      <c r="F500" s="135" t="s">
        <v>1430</v>
      </c>
    </row>
    <row r="501" spans="1:6">
      <c r="A501" s="136"/>
      <c r="B501" s="82">
        <v>587</v>
      </c>
      <c r="C501" s="137" t="s">
        <v>498</v>
      </c>
      <c r="D501" s="135" t="s">
        <v>1431</v>
      </c>
      <c r="E501" s="135" t="s">
        <v>1432</v>
      </c>
      <c r="F501" s="135" t="s">
        <v>1432</v>
      </c>
    </row>
    <row r="502" spans="1:6">
      <c r="B502" s="82">
        <v>588</v>
      </c>
      <c r="D502" s="84" t="s">
        <v>1433</v>
      </c>
      <c r="E502" s="135" t="s">
        <v>1434</v>
      </c>
      <c r="F502" s="135" t="s">
        <v>1434</v>
      </c>
    </row>
    <row r="503" spans="1:6">
      <c r="B503" s="82">
        <v>589</v>
      </c>
      <c r="D503" s="84" t="s">
        <v>1435</v>
      </c>
      <c r="E503" s="84" t="s">
        <v>1436</v>
      </c>
      <c r="F503" s="84" t="s">
        <v>1436</v>
      </c>
    </row>
    <row r="504" spans="1:6">
      <c r="B504" s="82">
        <v>590</v>
      </c>
      <c r="D504" s="84" t="s">
        <v>1437</v>
      </c>
      <c r="E504" s="84" t="s">
        <v>1438</v>
      </c>
      <c r="F504" s="84" t="s">
        <v>1438</v>
      </c>
    </row>
    <row r="505" spans="1:6" ht="24">
      <c r="B505" s="82">
        <v>591</v>
      </c>
      <c r="D505" s="84" t="s">
        <v>1439</v>
      </c>
      <c r="E505" s="84" t="s">
        <v>1440</v>
      </c>
      <c r="F505" s="84" t="s">
        <v>1440</v>
      </c>
    </row>
    <row r="506" spans="1:6">
      <c r="B506" s="82">
        <v>592</v>
      </c>
      <c r="D506" s="84" t="s">
        <v>1441</v>
      </c>
      <c r="E506" s="84" t="s">
        <v>1442</v>
      </c>
      <c r="F506" s="84" t="s">
        <v>1442</v>
      </c>
    </row>
    <row r="507" spans="1:6" ht="36">
      <c r="B507" s="82">
        <v>593</v>
      </c>
      <c r="D507" s="84" t="s">
        <v>1443</v>
      </c>
      <c r="E507" s="84" t="s">
        <v>1444</v>
      </c>
      <c r="F507" s="84" t="s">
        <v>1444</v>
      </c>
    </row>
    <row r="508" spans="1:6">
      <c r="B508" s="82">
        <v>594</v>
      </c>
      <c r="D508" s="84" t="s">
        <v>1445</v>
      </c>
      <c r="E508" s="84" t="s">
        <v>1446</v>
      </c>
      <c r="F508" s="84" t="s">
        <v>1446</v>
      </c>
    </row>
    <row r="509" spans="1:6">
      <c r="B509" s="82">
        <v>595</v>
      </c>
      <c r="D509" s="84" t="s">
        <v>1447</v>
      </c>
      <c r="E509" s="84" t="s">
        <v>1448</v>
      </c>
      <c r="F509" s="84" t="s">
        <v>1448</v>
      </c>
    </row>
    <row r="510" spans="1:6">
      <c r="B510" s="82">
        <v>596</v>
      </c>
      <c r="D510" s="84" t="s">
        <v>1449</v>
      </c>
      <c r="E510" s="84" t="s">
        <v>1450</v>
      </c>
      <c r="F510" s="84" t="s">
        <v>1450</v>
      </c>
    </row>
    <row r="511" spans="1:6">
      <c r="B511" s="82">
        <v>597</v>
      </c>
      <c r="D511" s="84" t="s">
        <v>1451</v>
      </c>
      <c r="E511" s="84" t="s">
        <v>1452</v>
      </c>
      <c r="F511" s="84" t="s">
        <v>1452</v>
      </c>
    </row>
    <row r="512" spans="1:6">
      <c r="B512" s="82">
        <v>598</v>
      </c>
      <c r="D512" s="84" t="s">
        <v>1453</v>
      </c>
      <c r="E512" s="84" t="s">
        <v>1454</v>
      </c>
      <c r="F512" s="84" t="s">
        <v>1454</v>
      </c>
    </row>
    <row r="513" spans="2:6">
      <c r="B513" s="82">
        <v>599</v>
      </c>
      <c r="D513" s="84" t="s">
        <v>1455</v>
      </c>
      <c r="E513" s="84" t="s">
        <v>428</v>
      </c>
      <c r="F513" s="84" t="s">
        <v>428</v>
      </c>
    </row>
    <row r="514" spans="2:6">
      <c r="B514" s="82">
        <v>600</v>
      </c>
      <c r="D514" s="84" t="s">
        <v>421</v>
      </c>
      <c r="E514" s="84" t="s">
        <v>421</v>
      </c>
      <c r="F514" s="84" t="s">
        <v>421</v>
      </c>
    </row>
    <row r="515" spans="2:6">
      <c r="B515" s="82">
        <v>601</v>
      </c>
      <c r="D515" s="84" t="s">
        <v>1456</v>
      </c>
      <c r="E515" s="84" t="s">
        <v>1457</v>
      </c>
      <c r="F515" s="84" t="s">
        <v>1457</v>
      </c>
    </row>
    <row r="516" spans="2:6" ht="24">
      <c r="B516" s="82">
        <v>602</v>
      </c>
      <c r="D516" s="84" t="s">
        <v>1458</v>
      </c>
      <c r="E516" s="84" t="s">
        <v>1459</v>
      </c>
      <c r="F516" s="84" t="s">
        <v>1459</v>
      </c>
    </row>
    <row r="517" spans="2:6">
      <c r="B517" s="82">
        <v>603</v>
      </c>
      <c r="D517" s="84" t="s">
        <v>1460</v>
      </c>
      <c r="E517" s="84" t="s">
        <v>1460</v>
      </c>
      <c r="F517" s="84" t="s">
        <v>1460</v>
      </c>
    </row>
    <row r="518" spans="2:6">
      <c r="B518" s="82">
        <v>604</v>
      </c>
      <c r="D518" s="84" t="s">
        <v>1461</v>
      </c>
      <c r="E518" s="84" t="s">
        <v>1462</v>
      </c>
      <c r="F518" s="84" t="s">
        <v>1462</v>
      </c>
    </row>
    <row r="519" spans="2:6">
      <c r="B519" s="82">
        <v>605</v>
      </c>
      <c r="D519" s="84" t="s">
        <v>1463</v>
      </c>
      <c r="E519" s="84" t="s">
        <v>1464</v>
      </c>
      <c r="F519" s="84" t="s">
        <v>1464</v>
      </c>
    </row>
    <row r="520" spans="2:6">
      <c r="B520" s="82">
        <v>606</v>
      </c>
      <c r="D520" s="84" t="s">
        <v>1465</v>
      </c>
      <c r="F520" s="84"/>
    </row>
    <row r="521" spans="2:6">
      <c r="B521" s="82">
        <v>607</v>
      </c>
      <c r="D521" s="84" t="s">
        <v>1466</v>
      </c>
      <c r="E521" s="84" t="s">
        <v>1467</v>
      </c>
      <c r="F521" s="84" t="s">
        <v>1467</v>
      </c>
    </row>
    <row r="522" spans="2:6">
      <c r="B522" s="82">
        <v>608</v>
      </c>
      <c r="C522" s="83" t="s">
        <v>1021</v>
      </c>
      <c r="D522" s="84" t="s">
        <v>1468</v>
      </c>
      <c r="E522" s="84" t="s">
        <v>1469</v>
      </c>
      <c r="F522" s="84" t="s">
        <v>1469</v>
      </c>
    </row>
    <row r="523" spans="2:6">
      <c r="B523" s="82">
        <v>609</v>
      </c>
      <c r="D523" s="84" t="s">
        <v>1470</v>
      </c>
      <c r="E523" s="84" t="s">
        <v>1471</v>
      </c>
      <c r="F523" s="84" t="s">
        <v>1471</v>
      </c>
    </row>
    <row r="524" spans="2:6">
      <c r="B524" s="82">
        <v>610</v>
      </c>
      <c r="D524" s="84" t="s">
        <v>1472</v>
      </c>
      <c r="E524" s="84" t="s">
        <v>1473</v>
      </c>
      <c r="F524" s="84" t="s">
        <v>1473</v>
      </c>
    </row>
    <row r="525" spans="2:6">
      <c r="B525" s="82">
        <v>611</v>
      </c>
      <c r="D525" s="84" t="s">
        <v>1474</v>
      </c>
      <c r="E525" s="84" t="s">
        <v>1471</v>
      </c>
      <c r="F525" s="84" t="s">
        <v>1471</v>
      </c>
    </row>
    <row r="526" spans="2:6">
      <c r="B526" s="82">
        <v>612</v>
      </c>
      <c r="D526" s="84" t="s">
        <v>1475</v>
      </c>
      <c r="E526" s="84" t="s">
        <v>425</v>
      </c>
      <c r="F526" s="84" t="s">
        <v>425</v>
      </c>
    </row>
    <row r="527" spans="2:6">
      <c r="B527" s="82">
        <v>613</v>
      </c>
      <c r="D527" s="84" t="s">
        <v>1476</v>
      </c>
      <c r="E527" s="84" t="s">
        <v>1477</v>
      </c>
      <c r="F527" s="84" t="s">
        <v>1477</v>
      </c>
    </row>
    <row r="528" spans="2:6">
      <c r="B528" s="82">
        <v>614</v>
      </c>
      <c r="D528" s="84" t="s">
        <v>1478</v>
      </c>
      <c r="E528" s="84" t="s">
        <v>1479</v>
      </c>
      <c r="F528" s="84" t="s">
        <v>1479</v>
      </c>
    </row>
    <row r="529" spans="1:6">
      <c r="B529" s="82">
        <v>615</v>
      </c>
      <c r="D529" s="84" t="s">
        <v>1480</v>
      </c>
      <c r="E529" s="84" t="s">
        <v>1481</v>
      </c>
      <c r="F529" s="84" t="s">
        <v>1481</v>
      </c>
    </row>
    <row r="530" spans="1:6">
      <c r="B530" s="82">
        <v>616</v>
      </c>
      <c r="D530" s="84" t="s">
        <v>1482</v>
      </c>
      <c r="E530" s="84" t="s">
        <v>1483</v>
      </c>
      <c r="F530" s="84" t="s">
        <v>1483</v>
      </c>
    </row>
    <row r="531" spans="1:6" ht="24">
      <c r="B531" s="82">
        <v>617</v>
      </c>
      <c r="C531" s="83" t="s">
        <v>502</v>
      </c>
      <c r="D531" s="84" t="s">
        <v>1484</v>
      </c>
      <c r="E531" s="84" t="s">
        <v>133</v>
      </c>
      <c r="F531" s="84" t="s">
        <v>133</v>
      </c>
    </row>
    <row r="532" spans="1:6" ht="36">
      <c r="B532" s="82">
        <v>618</v>
      </c>
      <c r="C532" s="83" t="s">
        <v>502</v>
      </c>
      <c r="D532" s="84" t="s">
        <v>1485</v>
      </c>
      <c r="E532" s="84" t="s">
        <v>1486</v>
      </c>
      <c r="F532" s="84" t="s">
        <v>1486</v>
      </c>
    </row>
    <row r="533" spans="1:6">
      <c r="B533" s="82">
        <v>619</v>
      </c>
      <c r="D533" s="84" t="s">
        <v>1487</v>
      </c>
      <c r="E533" s="84" t="s">
        <v>1488</v>
      </c>
      <c r="F533" s="84" t="s">
        <v>1488</v>
      </c>
    </row>
    <row r="534" spans="1:6">
      <c r="B534" s="82">
        <v>620</v>
      </c>
      <c r="D534" s="84" t="s">
        <v>1489</v>
      </c>
      <c r="E534" s="84" t="s">
        <v>1490</v>
      </c>
      <c r="F534" s="84" t="s">
        <v>1490</v>
      </c>
    </row>
    <row r="535" spans="1:6">
      <c r="B535" s="82">
        <v>621</v>
      </c>
      <c r="D535" s="84" t="s">
        <v>1491</v>
      </c>
      <c r="E535" s="84" t="s">
        <v>1491</v>
      </c>
      <c r="F535" s="84" t="s">
        <v>1491</v>
      </c>
    </row>
    <row r="536" spans="1:6">
      <c r="B536" s="82">
        <v>622</v>
      </c>
      <c r="D536" s="84" t="s">
        <v>1492</v>
      </c>
      <c r="F536" s="84"/>
    </row>
    <row r="537" spans="1:6">
      <c r="B537" s="82">
        <v>623</v>
      </c>
      <c r="D537" s="84" t="s">
        <v>1493</v>
      </c>
      <c r="F537" s="84"/>
    </row>
    <row r="538" spans="1:6">
      <c r="B538" s="82">
        <v>624</v>
      </c>
      <c r="D538" s="84" t="s">
        <v>1494</v>
      </c>
      <c r="E538" s="84" t="s">
        <v>140</v>
      </c>
      <c r="F538" s="84" t="s">
        <v>140</v>
      </c>
    </row>
    <row r="539" spans="1:6">
      <c r="B539" s="82">
        <v>625</v>
      </c>
      <c r="D539" s="84" t="s">
        <v>1495</v>
      </c>
      <c r="E539" s="84" t="s">
        <v>1496</v>
      </c>
      <c r="F539" s="84" t="s">
        <v>1496</v>
      </c>
    </row>
    <row r="540" spans="1:6">
      <c r="B540" s="82">
        <v>626</v>
      </c>
      <c r="D540" s="84" t="s">
        <v>1497</v>
      </c>
      <c r="E540" s="84" t="s">
        <v>1498</v>
      </c>
      <c r="F540" s="84" t="s">
        <v>1498</v>
      </c>
    </row>
    <row r="541" spans="1:6">
      <c r="B541" s="82">
        <v>627</v>
      </c>
      <c r="D541" s="84" t="s">
        <v>1499</v>
      </c>
      <c r="E541" s="84" t="s">
        <v>1500</v>
      </c>
      <c r="F541" s="84" t="s">
        <v>1500</v>
      </c>
    </row>
    <row r="542" spans="1:6">
      <c r="B542" s="82">
        <v>628</v>
      </c>
      <c r="D542" s="84" t="s">
        <v>1501</v>
      </c>
      <c r="E542" s="84" t="s">
        <v>1502</v>
      </c>
      <c r="F542" s="84" t="s">
        <v>1502</v>
      </c>
    </row>
    <row r="543" spans="1:6">
      <c r="B543" s="82">
        <v>629</v>
      </c>
      <c r="D543" s="84" t="s">
        <v>1503</v>
      </c>
      <c r="E543" s="84" t="s">
        <v>1500</v>
      </c>
      <c r="F543" s="84" t="s">
        <v>1500</v>
      </c>
    </row>
    <row r="544" spans="1:6" ht="24">
      <c r="A544" s="135"/>
      <c r="B544" s="82">
        <v>630</v>
      </c>
      <c r="C544" s="135"/>
      <c r="D544" s="135" t="s">
        <v>1504</v>
      </c>
      <c r="E544" s="135" t="s">
        <v>1505</v>
      </c>
      <c r="F544" s="135" t="s">
        <v>1505</v>
      </c>
    </row>
    <row r="545" spans="2:6">
      <c r="B545" s="82">
        <v>631</v>
      </c>
      <c r="C545" s="83" t="s">
        <v>502</v>
      </c>
      <c r="D545" s="84" t="s">
        <v>1506</v>
      </c>
      <c r="E545" s="84" t="s">
        <v>1507</v>
      </c>
      <c r="F545" s="84" t="s">
        <v>1507</v>
      </c>
    </row>
    <row r="546" spans="2:6">
      <c r="B546" s="82">
        <v>632</v>
      </c>
      <c r="C546" s="83" t="s">
        <v>502</v>
      </c>
      <c r="D546" s="84" t="s">
        <v>1508</v>
      </c>
      <c r="E546" s="84" t="s">
        <v>1509</v>
      </c>
      <c r="F546" s="84" t="s">
        <v>1509</v>
      </c>
    </row>
    <row r="547" spans="2:6">
      <c r="B547" s="82">
        <v>633</v>
      </c>
      <c r="D547" s="84" t="s">
        <v>1510</v>
      </c>
      <c r="E547" s="84" t="s">
        <v>1510</v>
      </c>
      <c r="F547" s="84" t="s">
        <v>1510</v>
      </c>
    </row>
    <row r="548" spans="2:6">
      <c r="B548" s="82">
        <v>634</v>
      </c>
      <c r="D548" s="84" t="s">
        <v>1511</v>
      </c>
      <c r="E548" s="84" t="s">
        <v>1512</v>
      </c>
      <c r="F548" s="84" t="s">
        <v>1512</v>
      </c>
    </row>
    <row r="549" spans="2:6">
      <c r="B549" s="82">
        <v>635</v>
      </c>
      <c r="D549" s="84" t="s">
        <v>1513</v>
      </c>
      <c r="E549" s="84" t="s">
        <v>1514</v>
      </c>
      <c r="F549" s="84" t="s">
        <v>1514</v>
      </c>
    </row>
    <row r="550" spans="2:6">
      <c r="B550" s="82">
        <v>636</v>
      </c>
      <c r="D550" s="84" t="s">
        <v>1515</v>
      </c>
      <c r="E550" s="84" t="s">
        <v>1516</v>
      </c>
      <c r="F550" s="84" t="s">
        <v>1516</v>
      </c>
    </row>
    <row r="551" spans="2:6" ht="24">
      <c r="B551" s="82">
        <v>637</v>
      </c>
      <c r="C551" s="83" t="s">
        <v>502</v>
      </c>
      <c r="D551" s="84" t="s">
        <v>1517</v>
      </c>
      <c r="E551" s="84" t="s">
        <v>1518</v>
      </c>
      <c r="F551" s="84" t="s">
        <v>1518</v>
      </c>
    </row>
    <row r="552" spans="2:6">
      <c r="B552" s="82">
        <v>638</v>
      </c>
      <c r="D552" s="84" t="s">
        <v>1519</v>
      </c>
      <c r="E552" s="84" t="s">
        <v>1520</v>
      </c>
      <c r="F552" s="84" t="s">
        <v>1520</v>
      </c>
    </row>
    <row r="553" spans="2:6" ht="36">
      <c r="B553" s="82">
        <v>639</v>
      </c>
      <c r="C553" s="83" t="s">
        <v>502</v>
      </c>
      <c r="D553" s="84" t="s">
        <v>1521</v>
      </c>
      <c r="E553" s="84" t="s">
        <v>1522</v>
      </c>
      <c r="F553" s="84" t="s">
        <v>1522</v>
      </c>
    </row>
    <row r="554" spans="2:6">
      <c r="B554" s="82">
        <v>640</v>
      </c>
      <c r="D554" s="84" t="s">
        <v>1523</v>
      </c>
      <c r="E554" s="84" t="s">
        <v>1524</v>
      </c>
      <c r="F554" s="84" t="s">
        <v>1524</v>
      </c>
    </row>
    <row r="555" spans="2:6">
      <c r="B555" s="82">
        <v>641</v>
      </c>
      <c r="D555" s="84" t="s">
        <v>1525</v>
      </c>
      <c r="E555" s="84" t="s">
        <v>1526</v>
      </c>
      <c r="F555" s="84" t="s">
        <v>1526</v>
      </c>
    </row>
    <row r="556" spans="2:6">
      <c r="B556" s="82">
        <v>642</v>
      </c>
      <c r="D556" s="84" t="s">
        <v>1527</v>
      </c>
      <c r="E556" s="84" t="s">
        <v>1528</v>
      </c>
      <c r="F556" s="84" t="s">
        <v>1528</v>
      </c>
    </row>
    <row r="557" spans="2:6" ht="24">
      <c r="B557" s="82">
        <v>643</v>
      </c>
      <c r="D557" s="84" t="s">
        <v>1529</v>
      </c>
      <c r="E557" s="84" t="s">
        <v>1530</v>
      </c>
      <c r="F557" s="84" t="s">
        <v>1530</v>
      </c>
    </row>
    <row r="558" spans="2:6">
      <c r="B558" s="82">
        <v>644</v>
      </c>
      <c r="D558" s="84" t="s">
        <v>1531</v>
      </c>
      <c r="E558" s="84" t="s">
        <v>1526</v>
      </c>
      <c r="F558" s="84" t="s">
        <v>1526</v>
      </c>
    </row>
    <row r="559" spans="2:6">
      <c r="B559" s="82">
        <v>645</v>
      </c>
      <c r="D559" s="84" t="s">
        <v>1532</v>
      </c>
      <c r="E559" s="84" t="s">
        <v>1533</v>
      </c>
      <c r="F559" s="84" t="s">
        <v>1533</v>
      </c>
    </row>
    <row r="560" spans="2:6">
      <c r="B560" s="82">
        <v>646</v>
      </c>
      <c r="D560" s="84" t="s">
        <v>1534</v>
      </c>
      <c r="E560" s="84" t="s">
        <v>1535</v>
      </c>
      <c r="F560" s="84" t="s">
        <v>1535</v>
      </c>
    </row>
    <row r="561" spans="2:27">
      <c r="B561" s="82">
        <v>647</v>
      </c>
      <c r="D561" s="84" t="s">
        <v>1536</v>
      </c>
      <c r="E561" s="84" t="s">
        <v>1537</v>
      </c>
      <c r="F561" s="84" t="s">
        <v>1537</v>
      </c>
    </row>
    <row r="562" spans="2:27">
      <c r="B562" s="82">
        <v>648</v>
      </c>
      <c r="D562" s="84" t="s">
        <v>1538</v>
      </c>
      <c r="E562" s="84" t="s">
        <v>1539</v>
      </c>
      <c r="F562" s="84" t="s">
        <v>1539</v>
      </c>
      <c r="G562" s="135"/>
      <c r="H562" s="135"/>
      <c r="I562" s="135"/>
      <c r="J562" s="135"/>
      <c r="K562" s="135"/>
      <c r="L562" s="135"/>
      <c r="M562" s="135"/>
      <c r="N562" s="135"/>
      <c r="O562" s="135"/>
      <c r="P562" s="135"/>
      <c r="Q562" s="135"/>
      <c r="R562" s="135"/>
      <c r="S562" s="135"/>
      <c r="T562" s="135"/>
      <c r="U562" s="135"/>
      <c r="V562" s="135"/>
      <c r="W562" s="135"/>
      <c r="X562" s="135"/>
      <c r="Y562" s="135"/>
      <c r="Z562" s="135"/>
      <c r="AA562" s="135"/>
    </row>
    <row r="563" spans="2:27" ht="24">
      <c r="B563" s="82">
        <v>649</v>
      </c>
      <c r="D563" s="84" t="s">
        <v>1540</v>
      </c>
      <c r="E563" s="84" t="s">
        <v>1541</v>
      </c>
      <c r="F563" s="84" t="s">
        <v>1541</v>
      </c>
      <c r="G563" s="135"/>
      <c r="H563" s="135"/>
      <c r="I563" s="135"/>
      <c r="J563" s="135"/>
      <c r="K563" s="135"/>
      <c r="L563" s="135"/>
      <c r="M563" s="135"/>
      <c r="N563" s="135"/>
      <c r="O563" s="135"/>
      <c r="P563" s="135"/>
      <c r="Q563" s="135"/>
      <c r="R563" s="135"/>
      <c r="S563" s="135"/>
      <c r="T563" s="135"/>
      <c r="U563" s="135"/>
      <c r="V563" s="135"/>
      <c r="W563" s="135"/>
      <c r="X563" s="135"/>
      <c r="Y563" s="135"/>
      <c r="Z563" s="135"/>
      <c r="AA563" s="135"/>
    </row>
    <row r="564" spans="2:27">
      <c r="B564" s="82">
        <v>650</v>
      </c>
      <c r="D564" s="84" t="s">
        <v>1542</v>
      </c>
      <c r="E564" s="84" t="s">
        <v>1524</v>
      </c>
      <c r="F564" s="84" t="s">
        <v>1524</v>
      </c>
      <c r="G564" s="136"/>
      <c r="H564" s="136"/>
      <c r="I564" s="136"/>
      <c r="J564" s="136"/>
      <c r="K564" s="136"/>
      <c r="L564" s="136"/>
      <c r="M564" s="136"/>
      <c r="N564" s="136"/>
      <c r="O564" s="136"/>
      <c r="P564" s="136"/>
      <c r="Q564" s="136"/>
      <c r="R564" s="136"/>
      <c r="S564" s="136"/>
      <c r="T564" s="136"/>
      <c r="U564" s="136"/>
      <c r="V564" s="136"/>
      <c r="W564" s="136"/>
      <c r="X564" s="136"/>
      <c r="Y564" s="136"/>
      <c r="Z564" s="136"/>
      <c r="AA564" s="136"/>
    </row>
    <row r="565" spans="2:27" ht="24">
      <c r="B565" s="82">
        <v>651</v>
      </c>
      <c r="C565" s="83" t="s">
        <v>502</v>
      </c>
      <c r="D565" s="84" t="s">
        <v>1543</v>
      </c>
      <c r="E565" s="84" t="s">
        <v>1544</v>
      </c>
      <c r="F565" s="84" t="s">
        <v>1544</v>
      </c>
    </row>
    <row r="566" spans="2:27" ht="24">
      <c r="B566" s="82">
        <v>652</v>
      </c>
      <c r="D566" s="84" t="s">
        <v>1545</v>
      </c>
      <c r="E566" s="84" t="s">
        <v>1546</v>
      </c>
      <c r="F566" s="84" t="s">
        <v>1546</v>
      </c>
      <c r="G566" s="136"/>
      <c r="H566" s="136"/>
      <c r="I566" s="136"/>
      <c r="J566" s="136"/>
      <c r="K566" s="136"/>
      <c r="L566" s="136"/>
      <c r="M566" s="136"/>
      <c r="N566" s="136"/>
      <c r="O566" s="136"/>
      <c r="P566" s="136"/>
      <c r="Q566" s="136"/>
      <c r="R566" s="136"/>
      <c r="S566" s="136"/>
      <c r="T566" s="136"/>
      <c r="U566" s="136"/>
      <c r="V566" s="136"/>
      <c r="W566" s="136"/>
      <c r="X566" s="136"/>
      <c r="Y566" s="136"/>
      <c r="Z566" s="136"/>
      <c r="AA566" s="136"/>
    </row>
    <row r="567" spans="2:27" ht="36">
      <c r="B567" s="82">
        <v>653</v>
      </c>
      <c r="D567" s="84" t="s">
        <v>1547</v>
      </c>
      <c r="E567" s="84" t="s">
        <v>1548</v>
      </c>
      <c r="F567" s="84" t="s">
        <v>1548</v>
      </c>
      <c r="G567" s="136"/>
      <c r="H567" s="136"/>
      <c r="I567" s="136"/>
      <c r="J567" s="136"/>
      <c r="K567" s="136"/>
      <c r="L567" s="136"/>
      <c r="M567" s="136"/>
      <c r="N567" s="136"/>
      <c r="O567" s="136"/>
      <c r="P567" s="136"/>
      <c r="Q567" s="136"/>
      <c r="R567" s="136"/>
      <c r="S567" s="136"/>
      <c r="T567" s="136"/>
      <c r="U567" s="136"/>
      <c r="V567" s="136"/>
      <c r="W567" s="136"/>
      <c r="X567" s="136"/>
      <c r="Y567" s="136"/>
      <c r="Z567" s="136"/>
      <c r="AA567" s="136"/>
    </row>
    <row r="568" spans="2:27">
      <c r="B568" s="82">
        <v>654</v>
      </c>
      <c r="D568" s="84" t="s">
        <v>1549</v>
      </c>
      <c r="E568" s="84" t="s">
        <v>1550</v>
      </c>
      <c r="F568" s="84" t="s">
        <v>1550</v>
      </c>
      <c r="G568" s="136"/>
      <c r="H568" s="136"/>
      <c r="I568" s="136"/>
      <c r="J568" s="136"/>
      <c r="K568" s="136"/>
      <c r="L568" s="136"/>
      <c r="M568" s="136"/>
      <c r="N568" s="136"/>
      <c r="O568" s="136"/>
      <c r="P568" s="136"/>
      <c r="Q568" s="136"/>
      <c r="R568" s="136"/>
      <c r="S568" s="136"/>
      <c r="T568" s="136"/>
      <c r="U568" s="136"/>
      <c r="V568" s="136"/>
      <c r="W568" s="136"/>
      <c r="X568" s="136"/>
      <c r="Y568" s="136"/>
      <c r="Z568" s="136"/>
      <c r="AA568" s="136"/>
    </row>
    <row r="569" spans="2:27" ht="36">
      <c r="B569" s="82">
        <v>655</v>
      </c>
      <c r="D569" s="84" t="s">
        <v>1551</v>
      </c>
      <c r="E569" s="84" t="s">
        <v>1552</v>
      </c>
      <c r="F569" s="84" t="s">
        <v>1552</v>
      </c>
      <c r="G569" s="136"/>
      <c r="H569" s="136"/>
      <c r="I569" s="136"/>
      <c r="J569" s="136"/>
      <c r="K569" s="136"/>
      <c r="L569" s="136"/>
      <c r="M569" s="136"/>
      <c r="N569" s="136"/>
      <c r="O569" s="136"/>
      <c r="P569" s="136"/>
      <c r="Q569" s="136"/>
      <c r="R569" s="136"/>
      <c r="S569" s="136"/>
      <c r="T569" s="136"/>
      <c r="U569" s="136"/>
      <c r="V569" s="136"/>
      <c r="W569" s="136"/>
      <c r="X569" s="136"/>
      <c r="Y569" s="136"/>
      <c r="Z569" s="136"/>
      <c r="AA569" s="136"/>
    </row>
    <row r="570" spans="2:27">
      <c r="B570" s="82">
        <v>656</v>
      </c>
      <c r="D570" s="84" t="s">
        <v>1553</v>
      </c>
      <c r="E570" s="84" t="s">
        <v>1554</v>
      </c>
      <c r="F570" s="84" t="s">
        <v>1554</v>
      </c>
      <c r="G570" s="136"/>
      <c r="H570" s="136"/>
      <c r="I570" s="136"/>
      <c r="J570" s="136"/>
      <c r="K570" s="136"/>
      <c r="L570" s="136"/>
      <c r="M570" s="136"/>
      <c r="N570" s="136"/>
      <c r="O570" s="136"/>
      <c r="P570" s="136"/>
      <c r="Q570" s="136"/>
      <c r="R570" s="136"/>
      <c r="S570" s="136"/>
      <c r="T570" s="136"/>
      <c r="U570" s="136"/>
      <c r="V570" s="136"/>
      <c r="W570" s="136"/>
      <c r="X570" s="136"/>
      <c r="Y570" s="136"/>
      <c r="Z570" s="136"/>
      <c r="AA570" s="136"/>
    </row>
    <row r="571" spans="2:27">
      <c r="B571" s="82">
        <v>657</v>
      </c>
      <c r="D571" s="84" t="s">
        <v>1555</v>
      </c>
      <c r="E571" s="84" t="s">
        <v>1556</v>
      </c>
      <c r="F571" s="84" t="s">
        <v>1556</v>
      </c>
      <c r="G571" s="136"/>
      <c r="H571" s="136"/>
      <c r="I571" s="136"/>
      <c r="J571" s="136"/>
      <c r="K571" s="136"/>
      <c r="L571" s="136"/>
      <c r="M571" s="136"/>
      <c r="N571" s="136"/>
      <c r="O571" s="136"/>
      <c r="P571" s="136"/>
      <c r="Q571" s="136"/>
      <c r="R571" s="136"/>
      <c r="S571" s="136"/>
      <c r="T571" s="136"/>
      <c r="U571" s="136"/>
      <c r="V571" s="136"/>
      <c r="W571" s="136"/>
      <c r="X571" s="136"/>
      <c r="Y571" s="136"/>
      <c r="Z571" s="136"/>
      <c r="AA571" s="136"/>
    </row>
    <row r="572" spans="2:27">
      <c r="B572" s="82">
        <v>658</v>
      </c>
      <c r="D572" s="84" t="s">
        <v>1557</v>
      </c>
      <c r="E572" s="84" t="s">
        <v>1558</v>
      </c>
      <c r="F572" s="84" t="s">
        <v>1558</v>
      </c>
      <c r="G572" s="136"/>
      <c r="H572" s="136"/>
      <c r="I572" s="136"/>
      <c r="J572" s="136"/>
      <c r="K572" s="136"/>
      <c r="L572" s="136"/>
      <c r="M572" s="136"/>
      <c r="N572" s="136"/>
      <c r="O572" s="136"/>
      <c r="P572" s="136"/>
      <c r="Q572" s="136"/>
      <c r="R572" s="136"/>
      <c r="S572" s="136"/>
      <c r="T572" s="136"/>
      <c r="U572" s="136"/>
      <c r="V572" s="136"/>
      <c r="W572" s="136"/>
      <c r="X572" s="136"/>
      <c r="Y572" s="136"/>
      <c r="Z572" s="136"/>
      <c r="AA572" s="136"/>
    </row>
    <row r="573" spans="2:27">
      <c r="B573" s="82">
        <v>659</v>
      </c>
      <c r="D573" s="84" t="s">
        <v>1559</v>
      </c>
      <c r="E573" s="84" t="s">
        <v>1560</v>
      </c>
      <c r="F573" s="84" t="s">
        <v>1560</v>
      </c>
      <c r="G573" s="136"/>
      <c r="H573" s="136"/>
      <c r="I573" s="136"/>
      <c r="J573" s="136"/>
      <c r="K573" s="136"/>
      <c r="L573" s="136"/>
      <c r="M573" s="136"/>
      <c r="N573" s="136"/>
      <c r="O573" s="136"/>
      <c r="P573" s="136"/>
      <c r="Q573" s="136"/>
      <c r="R573" s="136"/>
      <c r="S573" s="136"/>
      <c r="T573" s="136"/>
      <c r="U573" s="136"/>
      <c r="V573" s="136"/>
      <c r="W573" s="136"/>
      <c r="X573" s="136"/>
      <c r="Y573" s="136"/>
      <c r="Z573" s="136"/>
      <c r="AA573" s="136"/>
    </row>
    <row r="574" spans="2:27">
      <c r="B574" s="82">
        <v>660</v>
      </c>
      <c r="D574" s="84" t="s">
        <v>1561</v>
      </c>
      <c r="E574" s="84" t="s">
        <v>1562</v>
      </c>
      <c r="F574" s="84" t="s">
        <v>1562</v>
      </c>
      <c r="G574" s="136"/>
      <c r="H574" s="136"/>
      <c r="I574" s="136"/>
      <c r="J574" s="136"/>
      <c r="K574" s="136"/>
      <c r="L574" s="136"/>
      <c r="M574" s="136"/>
      <c r="N574" s="136"/>
      <c r="O574" s="136"/>
      <c r="P574" s="136"/>
      <c r="Q574" s="136"/>
      <c r="R574" s="136"/>
      <c r="S574" s="136"/>
      <c r="T574" s="136"/>
      <c r="U574" s="136"/>
      <c r="V574" s="136"/>
      <c r="W574" s="136"/>
      <c r="X574" s="136"/>
      <c r="Y574" s="136"/>
      <c r="Z574" s="136"/>
      <c r="AA574" s="136"/>
    </row>
    <row r="575" spans="2:27">
      <c r="B575" s="82">
        <v>661</v>
      </c>
      <c r="D575" s="84" t="s">
        <v>1563</v>
      </c>
      <c r="E575" s="84" t="s">
        <v>1564</v>
      </c>
      <c r="F575" s="84" t="s">
        <v>1564</v>
      </c>
      <c r="G575" s="136"/>
      <c r="H575" s="136"/>
      <c r="I575" s="136"/>
      <c r="J575" s="136"/>
      <c r="K575" s="136"/>
      <c r="L575" s="136"/>
      <c r="M575" s="136"/>
      <c r="N575" s="136"/>
      <c r="O575" s="136"/>
      <c r="P575" s="136"/>
      <c r="Q575" s="136"/>
      <c r="R575" s="136"/>
      <c r="S575" s="136"/>
      <c r="T575" s="136"/>
      <c r="U575" s="136"/>
      <c r="V575" s="136"/>
      <c r="W575" s="136"/>
      <c r="X575" s="136"/>
      <c r="Y575" s="136"/>
      <c r="Z575" s="136"/>
      <c r="AA575" s="136"/>
    </row>
    <row r="576" spans="2:27">
      <c r="B576" s="82">
        <v>662</v>
      </c>
      <c r="D576" s="84" t="s">
        <v>1565</v>
      </c>
      <c r="E576" s="84" t="s">
        <v>1566</v>
      </c>
      <c r="F576" s="84" t="s">
        <v>1566</v>
      </c>
    </row>
    <row r="577" spans="2:6">
      <c r="B577" s="82">
        <v>663</v>
      </c>
      <c r="D577" s="84" t="s">
        <v>1567</v>
      </c>
      <c r="E577" s="84" t="s">
        <v>1568</v>
      </c>
      <c r="F577" s="84" t="s">
        <v>1568</v>
      </c>
    </row>
    <row r="578" spans="2:6">
      <c r="B578" s="82">
        <v>664</v>
      </c>
      <c r="D578" s="84" t="s">
        <v>1569</v>
      </c>
      <c r="E578" s="84" t="s">
        <v>1570</v>
      </c>
      <c r="F578" s="84" t="s">
        <v>1570</v>
      </c>
    </row>
    <row r="579" spans="2:6">
      <c r="B579" s="82">
        <v>665</v>
      </c>
      <c r="D579" s="84" t="s">
        <v>1571</v>
      </c>
      <c r="E579" s="84" t="s">
        <v>1572</v>
      </c>
      <c r="F579" s="84" t="s">
        <v>1572</v>
      </c>
    </row>
    <row r="580" spans="2:6">
      <c r="B580" s="82">
        <v>666</v>
      </c>
      <c r="D580" s="84" t="s">
        <v>1573</v>
      </c>
      <c r="E580" s="84" t="s">
        <v>1574</v>
      </c>
      <c r="F580" s="84" t="s">
        <v>1574</v>
      </c>
    </row>
    <row r="581" spans="2:6">
      <c r="B581" s="82">
        <v>667</v>
      </c>
      <c r="D581" s="84" t="s">
        <v>1575</v>
      </c>
      <c r="E581" s="84" t="s">
        <v>1576</v>
      </c>
      <c r="F581" s="84" t="s">
        <v>1576</v>
      </c>
    </row>
    <row r="582" spans="2:6">
      <c r="B582" s="82">
        <v>667</v>
      </c>
      <c r="D582" s="84" t="s">
        <v>1577</v>
      </c>
      <c r="E582" s="84" t="s">
        <v>1578</v>
      </c>
      <c r="F582" s="84" t="s">
        <v>1578</v>
      </c>
    </row>
    <row r="583" spans="2:6">
      <c r="B583" s="82">
        <v>667</v>
      </c>
      <c r="D583" s="84" t="s">
        <v>1579</v>
      </c>
      <c r="E583" s="84" t="s">
        <v>1580</v>
      </c>
      <c r="F583" s="84" t="s">
        <v>1580</v>
      </c>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AD253"/>
  <sheetViews>
    <sheetView topLeftCell="A34" zoomScale="70" zoomScaleNormal="70" workbookViewId="0">
      <selection activeCell="M81" sqref="M81:N86"/>
    </sheetView>
  </sheetViews>
  <sheetFormatPr defaultColWidth="10.625" defaultRowHeight="15"/>
  <cols>
    <col min="1" max="1" width="8.75" style="119" bestFit="1" customWidth="1"/>
    <col min="2" max="2" width="7" style="119" bestFit="1" customWidth="1"/>
    <col min="3" max="12" width="10.75" style="119" bestFit="1" customWidth="1"/>
    <col min="13" max="13" width="39.375" style="119" bestFit="1" customWidth="1"/>
    <col min="14" max="14" width="20" style="119" bestFit="1" customWidth="1"/>
    <col min="15" max="16" width="11" style="119" bestFit="1" customWidth="1"/>
    <col min="17" max="17" width="14.375" style="119" bestFit="1" customWidth="1"/>
    <col min="18" max="18" width="15.75" style="119" bestFit="1" customWidth="1"/>
    <col min="19" max="19" width="11.75" style="119" bestFit="1" customWidth="1"/>
    <col min="20" max="20" width="18.75" style="119" bestFit="1" customWidth="1"/>
    <col min="21" max="21" width="13.75" style="119" bestFit="1" customWidth="1"/>
    <col min="22" max="22" width="13.5" style="119" bestFit="1" customWidth="1"/>
    <col min="23" max="23" width="14.5" style="119" bestFit="1" customWidth="1"/>
    <col min="24" max="24" width="18" style="120" bestFit="1" customWidth="1"/>
    <col min="25" max="25" width="8.75" style="120" bestFit="1" customWidth="1"/>
    <col min="26" max="26" width="10.125" style="120" bestFit="1" customWidth="1"/>
    <col min="27" max="27" width="10.375" style="119" bestFit="1" customWidth="1"/>
    <col min="28" max="29" width="11.75" style="119" bestFit="1" customWidth="1"/>
    <col min="30" max="30" width="15.125" style="119" bestFit="1" customWidth="1"/>
    <col min="31" max="16384" width="10.625" style="119"/>
  </cols>
  <sheetData>
    <row r="1" spans="1:30">
      <c r="A1" s="122" t="s">
        <v>1581</v>
      </c>
      <c r="B1" s="122" t="s">
        <v>1582</v>
      </c>
      <c r="C1" s="122" t="s">
        <v>1583</v>
      </c>
      <c r="D1" s="122" t="s">
        <v>1584</v>
      </c>
      <c r="E1" s="122" t="s">
        <v>1585</v>
      </c>
      <c r="F1" s="122" t="s">
        <v>1586</v>
      </c>
      <c r="G1" s="122" t="s">
        <v>1587</v>
      </c>
      <c r="H1" s="122" t="s">
        <v>1588</v>
      </c>
      <c r="I1" s="122" t="s">
        <v>1589</v>
      </c>
      <c r="J1" s="122" t="s">
        <v>1590</v>
      </c>
      <c r="K1" s="122" t="s">
        <v>1591</v>
      </c>
      <c r="L1" s="122" t="s">
        <v>1592</v>
      </c>
      <c r="M1" s="122" t="s">
        <v>1593</v>
      </c>
      <c r="N1" s="122" t="s">
        <v>1594</v>
      </c>
      <c r="O1" s="122" t="s">
        <v>1595</v>
      </c>
      <c r="P1" s="122" t="s">
        <v>1596</v>
      </c>
      <c r="Q1" s="122" t="s">
        <v>1597</v>
      </c>
      <c r="R1" s="122" t="s">
        <v>1598</v>
      </c>
      <c r="S1" s="122" t="s">
        <v>1599</v>
      </c>
      <c r="T1" s="122" t="s">
        <v>1600</v>
      </c>
      <c r="U1" s="122" t="s">
        <v>1601</v>
      </c>
      <c r="V1" s="122" t="s">
        <v>1602</v>
      </c>
      <c r="W1" s="122" t="s">
        <v>1603</v>
      </c>
      <c r="X1" s="123" t="s">
        <v>1604</v>
      </c>
      <c r="Y1" s="123" t="s">
        <v>1605</v>
      </c>
      <c r="Z1" s="123" t="s">
        <v>1606</v>
      </c>
      <c r="AA1" s="122" t="s">
        <v>1607</v>
      </c>
      <c r="AB1" s="122" t="s">
        <v>1608</v>
      </c>
      <c r="AC1" s="122" t="s">
        <v>1609</v>
      </c>
      <c r="AD1" s="122" t="s">
        <v>1610</v>
      </c>
    </row>
    <row r="2" spans="1:30">
      <c r="A2" s="121" t="s">
        <v>272</v>
      </c>
      <c r="B2" s="121" t="s">
        <v>216</v>
      </c>
      <c r="C2" s="121" t="s">
        <v>211</v>
      </c>
      <c r="D2" s="121" t="s">
        <v>214</v>
      </c>
      <c r="E2" s="121" t="s">
        <v>216</v>
      </c>
      <c r="M2" s="121" t="s">
        <v>217</v>
      </c>
      <c r="N2" s="121" t="s">
        <v>213</v>
      </c>
      <c r="O2" s="118">
        <v>44830</v>
      </c>
      <c r="P2" s="118">
        <v>44839</v>
      </c>
      <c r="Q2" s="118">
        <v>44830</v>
      </c>
      <c r="R2" s="118">
        <v>44835</v>
      </c>
      <c r="S2" s="119">
        <v>40</v>
      </c>
      <c r="T2" s="119">
        <v>1</v>
      </c>
      <c r="U2" s="119">
        <v>5</v>
      </c>
      <c r="V2" s="119">
        <v>5</v>
      </c>
      <c r="W2" s="119">
        <v>1</v>
      </c>
      <c r="X2" s="120">
        <v>0</v>
      </c>
      <c r="Y2" s="120">
        <v>0.8571428571428571</v>
      </c>
      <c r="Z2" s="120">
        <v>0</v>
      </c>
      <c r="AC2" s="119">
        <v>0</v>
      </c>
    </row>
    <row r="3" spans="1:30">
      <c r="A3" s="121" t="s">
        <v>272</v>
      </c>
      <c r="B3" s="121" t="s">
        <v>216</v>
      </c>
      <c r="C3" s="121" t="s">
        <v>211</v>
      </c>
      <c r="D3" s="121" t="s">
        <v>214</v>
      </c>
      <c r="E3" s="121" t="s">
        <v>216</v>
      </c>
      <c r="M3" s="121" t="s">
        <v>217</v>
      </c>
      <c r="N3" s="121" t="s">
        <v>213</v>
      </c>
      <c r="O3" s="118">
        <v>44830</v>
      </c>
      <c r="P3" s="118">
        <v>44839</v>
      </c>
      <c r="Q3" s="118">
        <v>44836</v>
      </c>
      <c r="R3" s="118">
        <v>44842</v>
      </c>
      <c r="S3" s="119">
        <v>41</v>
      </c>
      <c r="T3" s="119">
        <v>2</v>
      </c>
      <c r="U3" s="119">
        <v>2</v>
      </c>
      <c r="V3" s="119">
        <v>1</v>
      </c>
      <c r="W3" s="119">
        <v>1</v>
      </c>
      <c r="X3" s="120">
        <v>0</v>
      </c>
      <c r="Y3" s="120">
        <v>0.8571428571428571</v>
      </c>
      <c r="Z3" s="120">
        <v>0</v>
      </c>
      <c r="AC3" s="119">
        <v>0</v>
      </c>
    </row>
    <row r="4" spans="1:30">
      <c r="A4" s="121" t="s">
        <v>272</v>
      </c>
      <c r="B4" s="121" t="s">
        <v>219</v>
      </c>
      <c r="C4" s="121" t="s">
        <v>211</v>
      </c>
      <c r="D4" s="121" t="s">
        <v>214</v>
      </c>
      <c r="E4" s="121" t="s">
        <v>219</v>
      </c>
      <c r="M4" s="121" t="s">
        <v>220</v>
      </c>
      <c r="N4" s="121" t="s">
        <v>213</v>
      </c>
      <c r="O4" s="118">
        <v>44840</v>
      </c>
      <c r="P4" s="118">
        <v>44840</v>
      </c>
      <c r="Q4" s="118">
        <v>44836</v>
      </c>
      <c r="R4" s="118">
        <v>44842</v>
      </c>
      <c r="S4" s="119">
        <v>41</v>
      </c>
      <c r="T4" s="119">
        <v>2</v>
      </c>
      <c r="U4" s="119">
        <v>1</v>
      </c>
      <c r="V4" s="119">
        <v>0</v>
      </c>
      <c r="W4" s="119">
        <v>1</v>
      </c>
      <c r="X4" s="120">
        <v>0</v>
      </c>
      <c r="Y4" s="120">
        <v>0</v>
      </c>
      <c r="Z4" s="120">
        <v>0</v>
      </c>
      <c r="AC4" s="119">
        <v>0</v>
      </c>
    </row>
    <row r="5" spans="1:30">
      <c r="A5" s="121" t="s">
        <v>272</v>
      </c>
      <c r="B5" s="121" t="s">
        <v>223</v>
      </c>
      <c r="C5" s="121" t="s">
        <v>211</v>
      </c>
      <c r="D5" s="121" t="s">
        <v>221</v>
      </c>
      <c r="E5" s="121" t="s">
        <v>223</v>
      </c>
      <c r="M5" s="121" t="s">
        <v>224</v>
      </c>
      <c r="N5" s="121" t="s">
        <v>213</v>
      </c>
      <c r="O5" s="118">
        <v>44830</v>
      </c>
      <c r="P5" s="118">
        <v>44981</v>
      </c>
      <c r="Q5" s="118">
        <v>44830</v>
      </c>
      <c r="R5" s="118">
        <v>44835</v>
      </c>
      <c r="S5" s="119">
        <v>40</v>
      </c>
      <c r="T5" s="119">
        <v>1</v>
      </c>
      <c r="U5" s="119">
        <v>5</v>
      </c>
      <c r="V5" s="119">
        <v>5</v>
      </c>
      <c r="W5" s="119">
        <v>1</v>
      </c>
      <c r="X5" s="120">
        <v>0</v>
      </c>
      <c r="Y5" s="120">
        <v>5.6603773584905662E-2</v>
      </c>
      <c r="Z5" s="120">
        <v>0</v>
      </c>
      <c r="AC5" s="119">
        <v>0</v>
      </c>
    </row>
    <row r="6" spans="1:30">
      <c r="A6" s="121" t="s">
        <v>272</v>
      </c>
      <c r="B6" s="121" t="s">
        <v>223</v>
      </c>
      <c r="C6" s="121" t="s">
        <v>211</v>
      </c>
      <c r="D6" s="121" t="s">
        <v>221</v>
      </c>
      <c r="E6" s="121" t="s">
        <v>223</v>
      </c>
      <c r="M6" s="121" t="s">
        <v>224</v>
      </c>
      <c r="N6" s="121" t="s">
        <v>213</v>
      </c>
      <c r="O6" s="118">
        <v>44830</v>
      </c>
      <c r="P6" s="118">
        <v>44981</v>
      </c>
      <c r="Q6" s="118">
        <v>44836</v>
      </c>
      <c r="R6" s="118">
        <v>44842</v>
      </c>
      <c r="S6" s="119">
        <v>41</v>
      </c>
      <c r="T6" s="119">
        <v>2</v>
      </c>
      <c r="U6" s="119">
        <v>4</v>
      </c>
      <c r="V6" s="119">
        <v>1</v>
      </c>
      <c r="W6" s="119">
        <v>1</v>
      </c>
      <c r="X6" s="120">
        <v>0</v>
      </c>
      <c r="Y6" s="120">
        <v>5.6603773584905662E-2</v>
      </c>
      <c r="Z6" s="120">
        <v>0</v>
      </c>
      <c r="AC6" s="119">
        <v>0</v>
      </c>
    </row>
    <row r="7" spans="1:30">
      <c r="A7" s="121" t="s">
        <v>272</v>
      </c>
      <c r="B7" s="121" t="s">
        <v>223</v>
      </c>
      <c r="C7" s="121" t="s">
        <v>211</v>
      </c>
      <c r="D7" s="121" t="s">
        <v>221</v>
      </c>
      <c r="E7" s="121" t="s">
        <v>223</v>
      </c>
      <c r="M7" s="121" t="s">
        <v>224</v>
      </c>
      <c r="N7" s="121" t="s">
        <v>213</v>
      </c>
      <c r="O7" s="118">
        <v>44830</v>
      </c>
      <c r="P7" s="118">
        <v>44981</v>
      </c>
      <c r="Q7" s="118">
        <v>44843</v>
      </c>
      <c r="R7" s="118">
        <v>44849</v>
      </c>
      <c r="S7" s="119">
        <v>42</v>
      </c>
      <c r="T7" s="119">
        <v>3</v>
      </c>
      <c r="U7" s="119">
        <v>4</v>
      </c>
      <c r="V7" s="119">
        <v>0</v>
      </c>
      <c r="W7" s="119">
        <v>1</v>
      </c>
      <c r="X7" s="120">
        <v>0</v>
      </c>
      <c r="Y7" s="120">
        <v>5.6603773584905662E-2</v>
      </c>
      <c r="Z7" s="120">
        <v>0</v>
      </c>
      <c r="AC7" s="119">
        <v>0</v>
      </c>
    </row>
    <row r="8" spans="1:30">
      <c r="A8" s="121" t="s">
        <v>272</v>
      </c>
      <c r="B8" s="121" t="s">
        <v>223</v>
      </c>
      <c r="C8" s="121" t="s">
        <v>211</v>
      </c>
      <c r="D8" s="121" t="s">
        <v>221</v>
      </c>
      <c r="E8" s="121" t="s">
        <v>223</v>
      </c>
      <c r="M8" s="121" t="s">
        <v>224</v>
      </c>
      <c r="N8" s="121" t="s">
        <v>213</v>
      </c>
      <c r="O8" s="118">
        <v>44830</v>
      </c>
      <c r="P8" s="118">
        <v>44981</v>
      </c>
      <c r="Q8" s="118">
        <v>44850</v>
      </c>
      <c r="R8" s="118">
        <v>44856</v>
      </c>
      <c r="S8" s="119">
        <v>43</v>
      </c>
      <c r="T8" s="119">
        <v>4</v>
      </c>
      <c r="U8" s="119">
        <v>5</v>
      </c>
      <c r="V8" s="119">
        <v>0</v>
      </c>
      <c r="W8" s="119">
        <v>1</v>
      </c>
      <c r="X8" s="120">
        <v>0</v>
      </c>
      <c r="Y8" s="120">
        <v>5.6603773584905662E-2</v>
      </c>
      <c r="Z8" s="120">
        <v>0</v>
      </c>
      <c r="AC8" s="119">
        <v>0</v>
      </c>
    </row>
    <row r="9" spans="1:30">
      <c r="A9" s="121" t="s">
        <v>272</v>
      </c>
      <c r="B9" s="121" t="s">
        <v>223</v>
      </c>
      <c r="C9" s="121" t="s">
        <v>211</v>
      </c>
      <c r="D9" s="121" t="s">
        <v>221</v>
      </c>
      <c r="E9" s="121" t="s">
        <v>223</v>
      </c>
      <c r="M9" s="121" t="s">
        <v>224</v>
      </c>
      <c r="N9" s="121" t="s">
        <v>213</v>
      </c>
      <c r="O9" s="118">
        <v>44830</v>
      </c>
      <c r="P9" s="118">
        <v>44981</v>
      </c>
      <c r="Q9" s="118">
        <v>44857</v>
      </c>
      <c r="R9" s="118">
        <v>44863</v>
      </c>
      <c r="S9" s="119">
        <v>44</v>
      </c>
      <c r="T9" s="119">
        <v>5</v>
      </c>
      <c r="U9" s="119">
        <v>5</v>
      </c>
      <c r="V9" s="119">
        <v>0</v>
      </c>
      <c r="W9" s="119">
        <v>1</v>
      </c>
      <c r="X9" s="120">
        <v>0</v>
      </c>
      <c r="Y9" s="120">
        <v>5.6603773584905662E-2</v>
      </c>
      <c r="Z9" s="120">
        <v>0</v>
      </c>
      <c r="AC9" s="119">
        <v>0</v>
      </c>
    </row>
    <row r="10" spans="1:30">
      <c r="A10" s="121" t="s">
        <v>272</v>
      </c>
      <c r="B10" s="121" t="s">
        <v>223</v>
      </c>
      <c r="C10" s="121" t="s">
        <v>211</v>
      </c>
      <c r="D10" s="121" t="s">
        <v>221</v>
      </c>
      <c r="E10" s="121" t="s">
        <v>223</v>
      </c>
      <c r="M10" s="121" t="s">
        <v>224</v>
      </c>
      <c r="N10" s="121" t="s">
        <v>213</v>
      </c>
      <c r="O10" s="118">
        <v>44830</v>
      </c>
      <c r="P10" s="118">
        <v>44981</v>
      </c>
      <c r="Q10" s="118">
        <v>44864</v>
      </c>
      <c r="R10" s="118">
        <v>44870</v>
      </c>
      <c r="S10" s="119">
        <v>45</v>
      </c>
      <c r="T10" s="119">
        <v>6</v>
      </c>
      <c r="U10" s="119">
        <v>5</v>
      </c>
      <c r="V10" s="119">
        <v>0</v>
      </c>
      <c r="W10" s="119">
        <v>1</v>
      </c>
      <c r="X10" s="120">
        <v>0</v>
      </c>
      <c r="Y10" s="120">
        <v>5.6603773584905662E-2</v>
      </c>
      <c r="Z10" s="120">
        <v>0</v>
      </c>
      <c r="AC10" s="119">
        <v>0</v>
      </c>
    </row>
    <row r="11" spans="1:30">
      <c r="A11" s="121" t="s">
        <v>272</v>
      </c>
      <c r="B11" s="121" t="s">
        <v>223</v>
      </c>
      <c r="C11" s="121" t="s">
        <v>211</v>
      </c>
      <c r="D11" s="121" t="s">
        <v>221</v>
      </c>
      <c r="E11" s="121" t="s">
        <v>223</v>
      </c>
      <c r="M11" s="121" t="s">
        <v>224</v>
      </c>
      <c r="N11" s="121" t="s">
        <v>213</v>
      </c>
      <c r="O11" s="118">
        <v>44830</v>
      </c>
      <c r="P11" s="118">
        <v>44981</v>
      </c>
      <c r="Q11" s="118">
        <v>44871</v>
      </c>
      <c r="R11" s="118">
        <v>44877</v>
      </c>
      <c r="S11" s="119">
        <v>46</v>
      </c>
      <c r="T11" s="119">
        <v>7</v>
      </c>
      <c r="U11" s="119">
        <v>5</v>
      </c>
      <c r="V11" s="119">
        <v>0</v>
      </c>
      <c r="W11" s="119">
        <v>1</v>
      </c>
      <c r="X11" s="120">
        <v>0</v>
      </c>
      <c r="Y11" s="120">
        <v>5.6603773584905662E-2</v>
      </c>
      <c r="Z11" s="120">
        <v>0</v>
      </c>
      <c r="AC11" s="119">
        <v>0</v>
      </c>
    </row>
    <row r="12" spans="1:30">
      <c r="A12" s="121" t="s">
        <v>272</v>
      </c>
      <c r="B12" s="121" t="s">
        <v>223</v>
      </c>
      <c r="C12" s="121" t="s">
        <v>211</v>
      </c>
      <c r="D12" s="121" t="s">
        <v>221</v>
      </c>
      <c r="E12" s="121" t="s">
        <v>223</v>
      </c>
      <c r="M12" s="121" t="s">
        <v>224</v>
      </c>
      <c r="N12" s="121" t="s">
        <v>213</v>
      </c>
      <c r="O12" s="118">
        <v>44830</v>
      </c>
      <c r="P12" s="118">
        <v>44981</v>
      </c>
      <c r="Q12" s="118">
        <v>44878</v>
      </c>
      <c r="R12" s="118">
        <v>44884</v>
      </c>
      <c r="S12" s="119">
        <v>47</v>
      </c>
      <c r="T12" s="119">
        <v>8</v>
      </c>
      <c r="U12" s="119">
        <v>5</v>
      </c>
      <c r="V12" s="119">
        <v>0</v>
      </c>
      <c r="W12" s="119">
        <v>1</v>
      </c>
      <c r="X12" s="120">
        <v>0</v>
      </c>
      <c r="Y12" s="120">
        <v>5.6603773584905662E-2</v>
      </c>
      <c r="Z12" s="120">
        <v>0</v>
      </c>
      <c r="AC12" s="119">
        <v>0</v>
      </c>
    </row>
    <row r="13" spans="1:30">
      <c r="A13" s="121" t="s">
        <v>272</v>
      </c>
      <c r="B13" s="121" t="s">
        <v>223</v>
      </c>
      <c r="C13" s="121" t="s">
        <v>211</v>
      </c>
      <c r="D13" s="121" t="s">
        <v>221</v>
      </c>
      <c r="E13" s="121" t="s">
        <v>223</v>
      </c>
      <c r="M13" s="121" t="s">
        <v>224</v>
      </c>
      <c r="N13" s="121" t="s">
        <v>213</v>
      </c>
      <c r="O13" s="118">
        <v>44830</v>
      </c>
      <c r="P13" s="118">
        <v>44981</v>
      </c>
      <c r="Q13" s="118">
        <v>44885</v>
      </c>
      <c r="R13" s="118">
        <v>44891</v>
      </c>
      <c r="S13" s="119">
        <v>48</v>
      </c>
      <c r="T13" s="119">
        <v>9</v>
      </c>
      <c r="U13" s="119">
        <v>5</v>
      </c>
      <c r="V13" s="119">
        <v>0</v>
      </c>
      <c r="W13" s="119">
        <v>1</v>
      </c>
      <c r="X13" s="120">
        <v>0</v>
      </c>
      <c r="Y13" s="120">
        <v>5.6603773584905662E-2</v>
      </c>
      <c r="Z13" s="120">
        <v>0</v>
      </c>
      <c r="AC13" s="119">
        <v>0</v>
      </c>
    </row>
    <row r="14" spans="1:30">
      <c r="A14" s="121" t="s">
        <v>272</v>
      </c>
      <c r="B14" s="121" t="s">
        <v>223</v>
      </c>
      <c r="C14" s="121" t="s">
        <v>211</v>
      </c>
      <c r="D14" s="121" t="s">
        <v>221</v>
      </c>
      <c r="E14" s="121" t="s">
        <v>223</v>
      </c>
      <c r="M14" s="121" t="s">
        <v>224</v>
      </c>
      <c r="N14" s="121" t="s">
        <v>213</v>
      </c>
      <c r="O14" s="118">
        <v>44830</v>
      </c>
      <c r="P14" s="118">
        <v>44981</v>
      </c>
      <c r="Q14" s="118">
        <v>44892</v>
      </c>
      <c r="R14" s="118">
        <v>44898</v>
      </c>
      <c r="S14" s="119">
        <v>49</v>
      </c>
      <c r="T14" s="119">
        <v>10</v>
      </c>
      <c r="U14" s="119">
        <v>5</v>
      </c>
      <c r="V14" s="119">
        <v>0</v>
      </c>
      <c r="W14" s="119">
        <v>1</v>
      </c>
      <c r="X14" s="120">
        <v>0</v>
      </c>
      <c r="Y14" s="120">
        <v>5.6603773584905662E-2</v>
      </c>
      <c r="Z14" s="120">
        <v>0</v>
      </c>
      <c r="AC14" s="119">
        <v>0</v>
      </c>
    </row>
    <row r="15" spans="1:30">
      <c r="A15" s="121" t="s">
        <v>272</v>
      </c>
      <c r="B15" s="121" t="s">
        <v>223</v>
      </c>
      <c r="C15" s="121" t="s">
        <v>211</v>
      </c>
      <c r="D15" s="121" t="s">
        <v>221</v>
      </c>
      <c r="E15" s="121" t="s">
        <v>223</v>
      </c>
      <c r="M15" s="121" t="s">
        <v>224</v>
      </c>
      <c r="N15" s="121" t="s">
        <v>213</v>
      </c>
      <c r="O15" s="118">
        <v>44830</v>
      </c>
      <c r="P15" s="118">
        <v>44981</v>
      </c>
      <c r="Q15" s="118">
        <v>44899</v>
      </c>
      <c r="R15" s="118">
        <v>44905</v>
      </c>
      <c r="S15" s="119">
        <v>50</v>
      </c>
      <c r="T15" s="119">
        <v>11</v>
      </c>
      <c r="U15" s="119">
        <v>5</v>
      </c>
      <c r="V15" s="119">
        <v>0</v>
      </c>
      <c r="W15" s="119">
        <v>1</v>
      </c>
      <c r="X15" s="120">
        <v>0</v>
      </c>
      <c r="Y15" s="120">
        <v>5.6603773584905662E-2</v>
      </c>
      <c r="Z15" s="120">
        <v>0</v>
      </c>
      <c r="AC15" s="119">
        <v>0</v>
      </c>
    </row>
    <row r="16" spans="1:30">
      <c r="A16" s="121" t="s">
        <v>272</v>
      </c>
      <c r="B16" s="121" t="s">
        <v>223</v>
      </c>
      <c r="C16" s="121" t="s">
        <v>211</v>
      </c>
      <c r="D16" s="121" t="s">
        <v>221</v>
      </c>
      <c r="E16" s="121" t="s">
        <v>223</v>
      </c>
      <c r="M16" s="121" t="s">
        <v>224</v>
      </c>
      <c r="N16" s="121" t="s">
        <v>213</v>
      </c>
      <c r="O16" s="118">
        <v>44830</v>
      </c>
      <c r="P16" s="118">
        <v>44981</v>
      </c>
      <c r="Q16" s="118">
        <v>44906</v>
      </c>
      <c r="R16" s="118">
        <v>44912</v>
      </c>
      <c r="S16" s="119">
        <v>51</v>
      </c>
      <c r="T16" s="119">
        <v>12</v>
      </c>
      <c r="U16" s="119">
        <v>5</v>
      </c>
      <c r="V16" s="119">
        <v>0</v>
      </c>
      <c r="W16" s="119">
        <v>1</v>
      </c>
      <c r="X16" s="120">
        <v>0</v>
      </c>
      <c r="Y16" s="120">
        <v>5.6603773584905662E-2</v>
      </c>
      <c r="Z16" s="120">
        <v>0</v>
      </c>
      <c r="AC16" s="119">
        <v>0</v>
      </c>
    </row>
    <row r="17" spans="1:29">
      <c r="A17" s="121" t="s">
        <v>272</v>
      </c>
      <c r="B17" s="121" t="s">
        <v>223</v>
      </c>
      <c r="C17" s="121" t="s">
        <v>211</v>
      </c>
      <c r="D17" s="121" t="s">
        <v>221</v>
      </c>
      <c r="E17" s="121" t="s">
        <v>223</v>
      </c>
      <c r="M17" s="121" t="s">
        <v>224</v>
      </c>
      <c r="N17" s="121" t="s">
        <v>213</v>
      </c>
      <c r="O17" s="118">
        <v>44830</v>
      </c>
      <c r="P17" s="118">
        <v>44981</v>
      </c>
      <c r="Q17" s="118">
        <v>44913</v>
      </c>
      <c r="R17" s="118">
        <v>44919</v>
      </c>
      <c r="S17" s="119">
        <v>52</v>
      </c>
      <c r="T17" s="119">
        <v>13</v>
      </c>
      <c r="U17" s="119">
        <v>5</v>
      </c>
      <c r="V17" s="119">
        <v>0</v>
      </c>
      <c r="W17" s="119">
        <v>1</v>
      </c>
      <c r="X17" s="120">
        <v>0</v>
      </c>
      <c r="Y17" s="120">
        <v>5.6603773584905662E-2</v>
      </c>
      <c r="Z17" s="120">
        <v>0</v>
      </c>
      <c r="AC17" s="119">
        <v>0</v>
      </c>
    </row>
    <row r="18" spans="1:29">
      <c r="A18" s="121" t="s">
        <v>272</v>
      </c>
      <c r="B18" s="121" t="s">
        <v>223</v>
      </c>
      <c r="C18" s="121" t="s">
        <v>211</v>
      </c>
      <c r="D18" s="121" t="s">
        <v>221</v>
      </c>
      <c r="E18" s="121" t="s">
        <v>223</v>
      </c>
      <c r="M18" s="121" t="s">
        <v>224</v>
      </c>
      <c r="N18" s="121" t="s">
        <v>213</v>
      </c>
      <c r="O18" s="118">
        <v>44830</v>
      </c>
      <c r="P18" s="118">
        <v>44981</v>
      </c>
      <c r="Q18" s="118">
        <v>44920</v>
      </c>
      <c r="R18" s="118">
        <v>44926</v>
      </c>
      <c r="S18" s="119">
        <v>53</v>
      </c>
      <c r="T18" s="119">
        <v>14</v>
      </c>
      <c r="U18" s="119">
        <v>5</v>
      </c>
      <c r="V18" s="119">
        <v>0</v>
      </c>
      <c r="W18" s="119">
        <v>1</v>
      </c>
      <c r="X18" s="120">
        <v>0</v>
      </c>
      <c r="Y18" s="120">
        <v>5.6603773584905662E-2</v>
      </c>
      <c r="Z18" s="120">
        <v>0</v>
      </c>
      <c r="AC18" s="119">
        <v>0</v>
      </c>
    </row>
    <row r="19" spans="1:29">
      <c r="A19" s="121" t="s">
        <v>272</v>
      </c>
      <c r="B19" s="121" t="s">
        <v>223</v>
      </c>
      <c r="C19" s="121" t="s">
        <v>211</v>
      </c>
      <c r="D19" s="121" t="s">
        <v>221</v>
      </c>
      <c r="E19" s="121" t="s">
        <v>223</v>
      </c>
      <c r="M19" s="121" t="s">
        <v>224</v>
      </c>
      <c r="N19" s="121" t="s">
        <v>213</v>
      </c>
      <c r="O19" s="118">
        <v>44830</v>
      </c>
      <c r="P19" s="118">
        <v>44981</v>
      </c>
      <c r="Q19" s="118">
        <v>44927</v>
      </c>
      <c r="R19" s="118">
        <v>44933</v>
      </c>
      <c r="S19" s="119">
        <v>1</v>
      </c>
      <c r="T19" s="119">
        <v>15</v>
      </c>
      <c r="U19" s="119">
        <v>5</v>
      </c>
      <c r="V19" s="119">
        <v>0</v>
      </c>
      <c r="W19" s="119">
        <v>1</v>
      </c>
      <c r="X19" s="120">
        <v>0</v>
      </c>
      <c r="Y19" s="120">
        <v>5.6603773584905662E-2</v>
      </c>
      <c r="Z19" s="120">
        <v>0</v>
      </c>
      <c r="AC19" s="119">
        <v>0</v>
      </c>
    </row>
    <row r="20" spans="1:29">
      <c r="A20" s="121" t="s">
        <v>272</v>
      </c>
      <c r="B20" s="121" t="s">
        <v>223</v>
      </c>
      <c r="C20" s="121" t="s">
        <v>211</v>
      </c>
      <c r="D20" s="121" t="s">
        <v>221</v>
      </c>
      <c r="E20" s="121" t="s">
        <v>223</v>
      </c>
      <c r="M20" s="121" t="s">
        <v>224</v>
      </c>
      <c r="N20" s="121" t="s">
        <v>213</v>
      </c>
      <c r="O20" s="118">
        <v>44830</v>
      </c>
      <c r="P20" s="118">
        <v>44981</v>
      </c>
      <c r="Q20" s="118">
        <v>44934</v>
      </c>
      <c r="R20" s="118">
        <v>44940</v>
      </c>
      <c r="S20" s="119">
        <v>2</v>
      </c>
      <c r="T20" s="119">
        <v>16</v>
      </c>
      <c r="U20" s="119">
        <v>5</v>
      </c>
      <c r="V20" s="119">
        <v>0</v>
      </c>
      <c r="W20" s="119">
        <v>1</v>
      </c>
      <c r="X20" s="120">
        <v>0</v>
      </c>
      <c r="Y20" s="120">
        <v>5.6603773584905662E-2</v>
      </c>
      <c r="Z20" s="120">
        <v>0</v>
      </c>
      <c r="AC20" s="119">
        <v>0</v>
      </c>
    </row>
    <row r="21" spans="1:29">
      <c r="A21" s="121" t="s">
        <v>272</v>
      </c>
      <c r="B21" s="121" t="s">
        <v>223</v>
      </c>
      <c r="C21" s="121" t="s">
        <v>211</v>
      </c>
      <c r="D21" s="121" t="s">
        <v>221</v>
      </c>
      <c r="E21" s="121" t="s">
        <v>223</v>
      </c>
      <c r="M21" s="121" t="s">
        <v>224</v>
      </c>
      <c r="N21" s="121" t="s">
        <v>213</v>
      </c>
      <c r="O21" s="118">
        <v>44830</v>
      </c>
      <c r="P21" s="118">
        <v>44981</v>
      </c>
      <c r="Q21" s="118">
        <v>44941</v>
      </c>
      <c r="R21" s="118">
        <v>44947</v>
      </c>
      <c r="S21" s="119">
        <v>3</v>
      </c>
      <c r="T21" s="119">
        <v>17</v>
      </c>
      <c r="U21" s="119">
        <v>5</v>
      </c>
      <c r="V21" s="119">
        <v>0</v>
      </c>
      <c r="W21" s="119">
        <v>1</v>
      </c>
      <c r="X21" s="120">
        <v>0</v>
      </c>
      <c r="Y21" s="120">
        <v>5.6603773584905662E-2</v>
      </c>
      <c r="Z21" s="120">
        <v>0</v>
      </c>
      <c r="AC21" s="119">
        <v>0</v>
      </c>
    </row>
    <row r="22" spans="1:29">
      <c r="A22" s="121" t="s">
        <v>272</v>
      </c>
      <c r="B22" s="121" t="s">
        <v>223</v>
      </c>
      <c r="C22" s="121" t="s">
        <v>211</v>
      </c>
      <c r="D22" s="121" t="s">
        <v>221</v>
      </c>
      <c r="E22" s="121" t="s">
        <v>223</v>
      </c>
      <c r="M22" s="121" t="s">
        <v>224</v>
      </c>
      <c r="N22" s="121" t="s">
        <v>213</v>
      </c>
      <c r="O22" s="118">
        <v>44830</v>
      </c>
      <c r="P22" s="118">
        <v>44981</v>
      </c>
      <c r="Q22" s="118">
        <v>44948</v>
      </c>
      <c r="R22" s="118">
        <v>44954</v>
      </c>
      <c r="S22" s="119">
        <v>4</v>
      </c>
      <c r="T22" s="119">
        <v>18</v>
      </c>
      <c r="U22" s="119">
        <v>3</v>
      </c>
      <c r="V22" s="119">
        <v>0</v>
      </c>
      <c r="W22" s="119">
        <v>1</v>
      </c>
      <c r="X22" s="120">
        <v>0</v>
      </c>
      <c r="Y22" s="120">
        <v>5.6603773584905662E-2</v>
      </c>
      <c r="Z22" s="120">
        <v>0</v>
      </c>
      <c r="AC22" s="119">
        <v>0</v>
      </c>
    </row>
    <row r="23" spans="1:29">
      <c r="A23" s="121" t="s">
        <v>272</v>
      </c>
      <c r="B23" s="121" t="s">
        <v>223</v>
      </c>
      <c r="C23" s="121" t="s">
        <v>211</v>
      </c>
      <c r="D23" s="121" t="s">
        <v>221</v>
      </c>
      <c r="E23" s="121" t="s">
        <v>223</v>
      </c>
      <c r="M23" s="121" t="s">
        <v>224</v>
      </c>
      <c r="N23" s="121" t="s">
        <v>213</v>
      </c>
      <c r="O23" s="118">
        <v>44830</v>
      </c>
      <c r="P23" s="118">
        <v>44981</v>
      </c>
      <c r="Q23" s="118">
        <v>44955</v>
      </c>
      <c r="R23" s="118">
        <v>44961</v>
      </c>
      <c r="S23" s="119">
        <v>5</v>
      </c>
      <c r="T23" s="119">
        <v>19</v>
      </c>
      <c r="U23" s="119">
        <v>5</v>
      </c>
      <c r="V23" s="119">
        <v>0</v>
      </c>
      <c r="W23" s="119">
        <v>1</v>
      </c>
      <c r="X23" s="120">
        <v>0</v>
      </c>
      <c r="Y23" s="120">
        <v>5.6603773584905662E-2</v>
      </c>
      <c r="Z23" s="120">
        <v>0</v>
      </c>
      <c r="AC23" s="119">
        <v>0</v>
      </c>
    </row>
    <row r="24" spans="1:29">
      <c r="A24" s="121" t="s">
        <v>272</v>
      </c>
      <c r="B24" s="121" t="s">
        <v>223</v>
      </c>
      <c r="C24" s="121" t="s">
        <v>211</v>
      </c>
      <c r="D24" s="121" t="s">
        <v>221</v>
      </c>
      <c r="E24" s="121" t="s">
        <v>223</v>
      </c>
      <c r="M24" s="121" t="s">
        <v>224</v>
      </c>
      <c r="N24" s="121" t="s">
        <v>213</v>
      </c>
      <c r="O24" s="118">
        <v>44830</v>
      </c>
      <c r="P24" s="118">
        <v>44981</v>
      </c>
      <c r="Q24" s="118">
        <v>44962</v>
      </c>
      <c r="R24" s="118">
        <v>44968</v>
      </c>
      <c r="S24" s="119">
        <v>6</v>
      </c>
      <c r="T24" s="119">
        <v>20</v>
      </c>
      <c r="U24" s="119">
        <v>5</v>
      </c>
      <c r="V24" s="119">
        <v>0</v>
      </c>
      <c r="W24" s="119">
        <v>1</v>
      </c>
      <c r="X24" s="120">
        <v>0</v>
      </c>
      <c r="Y24" s="120">
        <v>5.6603773584905662E-2</v>
      </c>
      <c r="Z24" s="120">
        <v>0</v>
      </c>
      <c r="AC24" s="119">
        <v>0</v>
      </c>
    </row>
    <row r="25" spans="1:29">
      <c r="A25" s="121" t="s">
        <v>272</v>
      </c>
      <c r="B25" s="121" t="s">
        <v>223</v>
      </c>
      <c r="C25" s="121" t="s">
        <v>211</v>
      </c>
      <c r="D25" s="121" t="s">
        <v>221</v>
      </c>
      <c r="E25" s="121" t="s">
        <v>223</v>
      </c>
      <c r="M25" s="121" t="s">
        <v>224</v>
      </c>
      <c r="N25" s="121" t="s">
        <v>213</v>
      </c>
      <c r="O25" s="118">
        <v>44830</v>
      </c>
      <c r="P25" s="118">
        <v>44981</v>
      </c>
      <c r="Q25" s="118">
        <v>44969</v>
      </c>
      <c r="R25" s="118">
        <v>44975</v>
      </c>
      <c r="S25" s="119">
        <v>7</v>
      </c>
      <c r="T25" s="119">
        <v>21</v>
      </c>
      <c r="U25" s="119">
        <v>5</v>
      </c>
      <c r="V25" s="119">
        <v>0</v>
      </c>
      <c r="W25" s="119">
        <v>1</v>
      </c>
      <c r="X25" s="120">
        <v>0</v>
      </c>
      <c r="Y25" s="120">
        <v>5.6603773584905662E-2</v>
      </c>
      <c r="Z25" s="120">
        <v>0</v>
      </c>
      <c r="AC25" s="119">
        <v>0</v>
      </c>
    </row>
    <row r="26" spans="1:29">
      <c r="A26" s="121" t="s">
        <v>272</v>
      </c>
      <c r="B26" s="121" t="s">
        <v>223</v>
      </c>
      <c r="C26" s="121" t="s">
        <v>211</v>
      </c>
      <c r="D26" s="121" t="s">
        <v>221</v>
      </c>
      <c r="E26" s="121" t="s">
        <v>223</v>
      </c>
      <c r="M26" s="121" t="s">
        <v>224</v>
      </c>
      <c r="N26" s="121" t="s">
        <v>213</v>
      </c>
      <c r="O26" s="118">
        <v>44830</v>
      </c>
      <c r="P26" s="118">
        <v>44981</v>
      </c>
      <c r="Q26" s="118">
        <v>44976</v>
      </c>
      <c r="R26" s="118">
        <v>44982</v>
      </c>
      <c r="S26" s="119">
        <v>8</v>
      </c>
      <c r="T26" s="119">
        <v>22</v>
      </c>
      <c r="U26" s="119">
        <v>5</v>
      </c>
      <c r="V26" s="119">
        <v>0</v>
      </c>
      <c r="W26" s="119">
        <v>1</v>
      </c>
      <c r="X26" s="120">
        <v>0</v>
      </c>
      <c r="Y26" s="120">
        <v>5.6603773584905662E-2</v>
      </c>
      <c r="Z26" s="120">
        <v>0</v>
      </c>
      <c r="AC26" s="119">
        <v>0</v>
      </c>
    </row>
    <row r="27" spans="1:29">
      <c r="A27" s="121" t="s">
        <v>272</v>
      </c>
      <c r="B27" s="121" t="s">
        <v>225</v>
      </c>
      <c r="C27" s="121" t="s">
        <v>211</v>
      </c>
      <c r="D27" s="121" t="s">
        <v>221</v>
      </c>
      <c r="E27" s="121" t="s">
        <v>225</v>
      </c>
      <c r="M27" s="121" t="s">
        <v>226</v>
      </c>
      <c r="N27" s="121" t="s">
        <v>213</v>
      </c>
      <c r="O27" s="118">
        <v>44830</v>
      </c>
      <c r="P27" s="118">
        <v>44981</v>
      </c>
      <c r="Q27" s="118">
        <v>44830</v>
      </c>
      <c r="R27" s="118">
        <v>44835</v>
      </c>
      <c r="S27" s="119">
        <v>40</v>
      </c>
      <c r="T27" s="119">
        <v>1</v>
      </c>
      <c r="U27" s="119">
        <v>5</v>
      </c>
      <c r="V27" s="119">
        <v>5</v>
      </c>
      <c r="W27" s="119">
        <v>1</v>
      </c>
      <c r="X27" s="120">
        <v>0</v>
      </c>
      <c r="Y27" s="120">
        <v>5.6603773584905662E-2</v>
      </c>
      <c r="Z27" s="120">
        <v>0</v>
      </c>
      <c r="AC27" s="119">
        <v>0</v>
      </c>
    </row>
    <row r="28" spans="1:29">
      <c r="A28" s="121" t="s">
        <v>272</v>
      </c>
      <c r="B28" s="121" t="s">
        <v>225</v>
      </c>
      <c r="C28" s="121" t="s">
        <v>211</v>
      </c>
      <c r="D28" s="121" t="s">
        <v>221</v>
      </c>
      <c r="E28" s="121" t="s">
        <v>225</v>
      </c>
      <c r="M28" s="121" t="s">
        <v>226</v>
      </c>
      <c r="N28" s="121" t="s">
        <v>213</v>
      </c>
      <c r="O28" s="118">
        <v>44830</v>
      </c>
      <c r="P28" s="118">
        <v>44981</v>
      </c>
      <c r="Q28" s="118">
        <v>44836</v>
      </c>
      <c r="R28" s="118">
        <v>44842</v>
      </c>
      <c r="S28" s="119">
        <v>41</v>
      </c>
      <c r="T28" s="119">
        <v>2</v>
      </c>
      <c r="U28" s="119">
        <v>4</v>
      </c>
      <c r="V28" s="119">
        <v>1</v>
      </c>
      <c r="W28" s="119">
        <v>1</v>
      </c>
      <c r="X28" s="120">
        <v>0</v>
      </c>
      <c r="Y28" s="120">
        <v>5.6603773584905662E-2</v>
      </c>
      <c r="Z28" s="120">
        <v>0</v>
      </c>
      <c r="AC28" s="119">
        <v>0</v>
      </c>
    </row>
    <row r="29" spans="1:29">
      <c r="A29" s="121" t="s">
        <v>272</v>
      </c>
      <c r="B29" s="121" t="s">
        <v>225</v>
      </c>
      <c r="C29" s="121" t="s">
        <v>211</v>
      </c>
      <c r="D29" s="121" t="s">
        <v>221</v>
      </c>
      <c r="E29" s="121" t="s">
        <v>225</v>
      </c>
      <c r="M29" s="121" t="s">
        <v>226</v>
      </c>
      <c r="N29" s="121" t="s">
        <v>213</v>
      </c>
      <c r="O29" s="118">
        <v>44830</v>
      </c>
      <c r="P29" s="118">
        <v>44981</v>
      </c>
      <c r="Q29" s="118">
        <v>44843</v>
      </c>
      <c r="R29" s="118">
        <v>44849</v>
      </c>
      <c r="S29" s="119">
        <v>42</v>
      </c>
      <c r="T29" s="119">
        <v>3</v>
      </c>
      <c r="U29" s="119">
        <v>4</v>
      </c>
      <c r="V29" s="119">
        <v>0</v>
      </c>
      <c r="W29" s="119">
        <v>1</v>
      </c>
      <c r="X29" s="120">
        <v>0</v>
      </c>
      <c r="Y29" s="120">
        <v>5.6603773584905662E-2</v>
      </c>
      <c r="Z29" s="120">
        <v>0</v>
      </c>
      <c r="AC29" s="119">
        <v>0</v>
      </c>
    </row>
    <row r="30" spans="1:29">
      <c r="A30" s="121" t="s">
        <v>272</v>
      </c>
      <c r="B30" s="121" t="s">
        <v>225</v>
      </c>
      <c r="C30" s="121" t="s">
        <v>211</v>
      </c>
      <c r="D30" s="121" t="s">
        <v>221</v>
      </c>
      <c r="E30" s="121" t="s">
        <v>225</v>
      </c>
      <c r="M30" s="121" t="s">
        <v>226</v>
      </c>
      <c r="N30" s="121" t="s">
        <v>213</v>
      </c>
      <c r="O30" s="118">
        <v>44830</v>
      </c>
      <c r="P30" s="118">
        <v>44981</v>
      </c>
      <c r="Q30" s="118">
        <v>44850</v>
      </c>
      <c r="R30" s="118">
        <v>44856</v>
      </c>
      <c r="S30" s="119">
        <v>43</v>
      </c>
      <c r="T30" s="119">
        <v>4</v>
      </c>
      <c r="U30" s="119">
        <v>5</v>
      </c>
      <c r="V30" s="119">
        <v>0</v>
      </c>
      <c r="W30" s="119">
        <v>1</v>
      </c>
      <c r="X30" s="120">
        <v>0</v>
      </c>
      <c r="Y30" s="120">
        <v>5.6603773584905662E-2</v>
      </c>
      <c r="Z30" s="120">
        <v>0</v>
      </c>
      <c r="AC30" s="119">
        <v>0</v>
      </c>
    </row>
    <row r="31" spans="1:29">
      <c r="A31" s="121" t="s">
        <v>272</v>
      </c>
      <c r="B31" s="121" t="s">
        <v>225</v>
      </c>
      <c r="C31" s="121" t="s">
        <v>211</v>
      </c>
      <c r="D31" s="121" t="s">
        <v>221</v>
      </c>
      <c r="E31" s="121" t="s">
        <v>225</v>
      </c>
      <c r="M31" s="121" t="s">
        <v>226</v>
      </c>
      <c r="N31" s="121" t="s">
        <v>213</v>
      </c>
      <c r="O31" s="118">
        <v>44830</v>
      </c>
      <c r="P31" s="118">
        <v>44981</v>
      </c>
      <c r="Q31" s="118">
        <v>44857</v>
      </c>
      <c r="R31" s="118">
        <v>44863</v>
      </c>
      <c r="S31" s="119">
        <v>44</v>
      </c>
      <c r="T31" s="119">
        <v>5</v>
      </c>
      <c r="U31" s="119">
        <v>5</v>
      </c>
      <c r="V31" s="119">
        <v>0</v>
      </c>
      <c r="W31" s="119">
        <v>1</v>
      </c>
      <c r="X31" s="120">
        <v>0</v>
      </c>
      <c r="Y31" s="120">
        <v>5.6603773584905662E-2</v>
      </c>
      <c r="Z31" s="120">
        <v>0</v>
      </c>
      <c r="AC31" s="119">
        <v>0</v>
      </c>
    </row>
    <row r="32" spans="1:29">
      <c r="A32" s="121" t="s">
        <v>272</v>
      </c>
      <c r="B32" s="121" t="s">
        <v>225</v>
      </c>
      <c r="C32" s="121" t="s">
        <v>211</v>
      </c>
      <c r="D32" s="121" t="s">
        <v>221</v>
      </c>
      <c r="E32" s="121" t="s">
        <v>225</v>
      </c>
      <c r="M32" s="121" t="s">
        <v>226</v>
      </c>
      <c r="N32" s="121" t="s">
        <v>213</v>
      </c>
      <c r="O32" s="118">
        <v>44830</v>
      </c>
      <c r="P32" s="118">
        <v>44981</v>
      </c>
      <c r="Q32" s="118">
        <v>44864</v>
      </c>
      <c r="R32" s="118">
        <v>44870</v>
      </c>
      <c r="S32" s="119">
        <v>45</v>
      </c>
      <c r="T32" s="119">
        <v>6</v>
      </c>
      <c r="U32" s="119">
        <v>5</v>
      </c>
      <c r="V32" s="119">
        <v>0</v>
      </c>
      <c r="W32" s="119">
        <v>1</v>
      </c>
      <c r="X32" s="120">
        <v>0</v>
      </c>
      <c r="Y32" s="120">
        <v>5.6603773584905662E-2</v>
      </c>
      <c r="Z32" s="120">
        <v>0</v>
      </c>
      <c r="AC32" s="119">
        <v>0</v>
      </c>
    </row>
    <row r="33" spans="1:29">
      <c r="A33" s="121" t="s">
        <v>272</v>
      </c>
      <c r="B33" s="121" t="s">
        <v>225</v>
      </c>
      <c r="C33" s="121" t="s">
        <v>211</v>
      </c>
      <c r="D33" s="121" t="s">
        <v>221</v>
      </c>
      <c r="E33" s="121" t="s">
        <v>225</v>
      </c>
      <c r="M33" s="121" t="s">
        <v>226</v>
      </c>
      <c r="N33" s="121" t="s">
        <v>213</v>
      </c>
      <c r="O33" s="118">
        <v>44830</v>
      </c>
      <c r="P33" s="118">
        <v>44981</v>
      </c>
      <c r="Q33" s="118">
        <v>44871</v>
      </c>
      <c r="R33" s="118">
        <v>44877</v>
      </c>
      <c r="S33" s="119">
        <v>46</v>
      </c>
      <c r="T33" s="119">
        <v>7</v>
      </c>
      <c r="U33" s="119">
        <v>5</v>
      </c>
      <c r="V33" s="119">
        <v>0</v>
      </c>
      <c r="W33" s="119">
        <v>1</v>
      </c>
      <c r="X33" s="120">
        <v>0</v>
      </c>
      <c r="Y33" s="120">
        <v>5.6603773584905662E-2</v>
      </c>
      <c r="Z33" s="120">
        <v>0</v>
      </c>
      <c r="AC33" s="119">
        <v>0</v>
      </c>
    </row>
    <row r="34" spans="1:29">
      <c r="A34" s="121" t="s">
        <v>272</v>
      </c>
      <c r="B34" s="121" t="s">
        <v>225</v>
      </c>
      <c r="C34" s="121" t="s">
        <v>211</v>
      </c>
      <c r="D34" s="121" t="s">
        <v>221</v>
      </c>
      <c r="E34" s="121" t="s">
        <v>225</v>
      </c>
      <c r="M34" s="121" t="s">
        <v>226</v>
      </c>
      <c r="N34" s="121" t="s">
        <v>213</v>
      </c>
      <c r="O34" s="118">
        <v>44830</v>
      </c>
      <c r="P34" s="118">
        <v>44981</v>
      </c>
      <c r="Q34" s="118">
        <v>44878</v>
      </c>
      <c r="R34" s="118">
        <v>44884</v>
      </c>
      <c r="S34" s="119">
        <v>47</v>
      </c>
      <c r="T34" s="119">
        <v>8</v>
      </c>
      <c r="U34" s="119">
        <v>5</v>
      </c>
      <c r="V34" s="119">
        <v>0</v>
      </c>
      <c r="W34" s="119">
        <v>1</v>
      </c>
      <c r="X34" s="120">
        <v>0</v>
      </c>
      <c r="Y34" s="120">
        <v>5.6603773584905662E-2</v>
      </c>
      <c r="Z34" s="120">
        <v>0</v>
      </c>
      <c r="AC34" s="119">
        <v>0</v>
      </c>
    </row>
    <row r="35" spans="1:29">
      <c r="A35" s="121" t="s">
        <v>272</v>
      </c>
      <c r="B35" s="121" t="s">
        <v>225</v>
      </c>
      <c r="C35" s="121" t="s">
        <v>211</v>
      </c>
      <c r="D35" s="121" t="s">
        <v>221</v>
      </c>
      <c r="E35" s="121" t="s">
        <v>225</v>
      </c>
      <c r="M35" s="121" t="s">
        <v>226</v>
      </c>
      <c r="N35" s="121" t="s">
        <v>213</v>
      </c>
      <c r="O35" s="118">
        <v>44830</v>
      </c>
      <c r="P35" s="118">
        <v>44981</v>
      </c>
      <c r="Q35" s="118">
        <v>44885</v>
      </c>
      <c r="R35" s="118">
        <v>44891</v>
      </c>
      <c r="S35" s="119">
        <v>48</v>
      </c>
      <c r="T35" s="119">
        <v>9</v>
      </c>
      <c r="U35" s="119">
        <v>5</v>
      </c>
      <c r="V35" s="119">
        <v>0</v>
      </c>
      <c r="W35" s="119">
        <v>1</v>
      </c>
      <c r="X35" s="120">
        <v>0</v>
      </c>
      <c r="Y35" s="120">
        <v>5.6603773584905662E-2</v>
      </c>
      <c r="Z35" s="120">
        <v>0</v>
      </c>
      <c r="AC35" s="119">
        <v>0</v>
      </c>
    </row>
    <row r="36" spans="1:29">
      <c r="A36" s="121" t="s">
        <v>272</v>
      </c>
      <c r="B36" s="121" t="s">
        <v>225</v>
      </c>
      <c r="C36" s="121" t="s">
        <v>211</v>
      </c>
      <c r="D36" s="121" t="s">
        <v>221</v>
      </c>
      <c r="E36" s="121" t="s">
        <v>225</v>
      </c>
      <c r="M36" s="121" t="s">
        <v>226</v>
      </c>
      <c r="N36" s="121" t="s">
        <v>213</v>
      </c>
      <c r="O36" s="118">
        <v>44830</v>
      </c>
      <c r="P36" s="118">
        <v>44981</v>
      </c>
      <c r="Q36" s="118">
        <v>44892</v>
      </c>
      <c r="R36" s="118">
        <v>44898</v>
      </c>
      <c r="S36" s="119">
        <v>49</v>
      </c>
      <c r="T36" s="119">
        <v>10</v>
      </c>
      <c r="U36" s="119">
        <v>5</v>
      </c>
      <c r="V36" s="119">
        <v>0</v>
      </c>
      <c r="W36" s="119">
        <v>1</v>
      </c>
      <c r="X36" s="120">
        <v>0</v>
      </c>
      <c r="Y36" s="120">
        <v>5.6603773584905662E-2</v>
      </c>
      <c r="Z36" s="120">
        <v>0</v>
      </c>
      <c r="AC36" s="119">
        <v>0</v>
      </c>
    </row>
    <row r="37" spans="1:29">
      <c r="A37" s="121" t="s">
        <v>272</v>
      </c>
      <c r="B37" s="121" t="s">
        <v>225</v>
      </c>
      <c r="C37" s="121" t="s">
        <v>211</v>
      </c>
      <c r="D37" s="121" t="s">
        <v>221</v>
      </c>
      <c r="E37" s="121" t="s">
        <v>225</v>
      </c>
      <c r="M37" s="121" t="s">
        <v>226</v>
      </c>
      <c r="N37" s="121" t="s">
        <v>213</v>
      </c>
      <c r="O37" s="118">
        <v>44830</v>
      </c>
      <c r="P37" s="118">
        <v>44981</v>
      </c>
      <c r="Q37" s="118">
        <v>44899</v>
      </c>
      <c r="R37" s="118">
        <v>44905</v>
      </c>
      <c r="S37" s="119">
        <v>50</v>
      </c>
      <c r="T37" s="119">
        <v>11</v>
      </c>
      <c r="U37" s="119">
        <v>5</v>
      </c>
      <c r="V37" s="119">
        <v>0</v>
      </c>
      <c r="W37" s="119">
        <v>1</v>
      </c>
      <c r="X37" s="120">
        <v>0</v>
      </c>
      <c r="Y37" s="120">
        <v>5.6603773584905662E-2</v>
      </c>
      <c r="Z37" s="120">
        <v>0</v>
      </c>
      <c r="AC37" s="119">
        <v>0</v>
      </c>
    </row>
    <row r="38" spans="1:29">
      <c r="A38" s="121" t="s">
        <v>272</v>
      </c>
      <c r="B38" s="121" t="s">
        <v>225</v>
      </c>
      <c r="C38" s="121" t="s">
        <v>211</v>
      </c>
      <c r="D38" s="121" t="s">
        <v>221</v>
      </c>
      <c r="E38" s="121" t="s">
        <v>225</v>
      </c>
      <c r="M38" s="121" t="s">
        <v>226</v>
      </c>
      <c r="N38" s="121" t="s">
        <v>213</v>
      </c>
      <c r="O38" s="118">
        <v>44830</v>
      </c>
      <c r="P38" s="118">
        <v>44981</v>
      </c>
      <c r="Q38" s="118">
        <v>44906</v>
      </c>
      <c r="R38" s="118">
        <v>44912</v>
      </c>
      <c r="S38" s="119">
        <v>51</v>
      </c>
      <c r="T38" s="119">
        <v>12</v>
      </c>
      <c r="U38" s="119">
        <v>5</v>
      </c>
      <c r="V38" s="119">
        <v>0</v>
      </c>
      <c r="W38" s="119">
        <v>1</v>
      </c>
      <c r="X38" s="120">
        <v>0</v>
      </c>
      <c r="Y38" s="120">
        <v>5.6603773584905662E-2</v>
      </c>
      <c r="Z38" s="120">
        <v>0</v>
      </c>
      <c r="AC38" s="119">
        <v>0</v>
      </c>
    </row>
    <row r="39" spans="1:29">
      <c r="A39" s="121" t="s">
        <v>272</v>
      </c>
      <c r="B39" s="121" t="s">
        <v>225</v>
      </c>
      <c r="C39" s="121" t="s">
        <v>211</v>
      </c>
      <c r="D39" s="121" t="s">
        <v>221</v>
      </c>
      <c r="E39" s="121" t="s">
        <v>225</v>
      </c>
      <c r="M39" s="121" t="s">
        <v>226</v>
      </c>
      <c r="N39" s="121" t="s">
        <v>213</v>
      </c>
      <c r="O39" s="118">
        <v>44830</v>
      </c>
      <c r="P39" s="118">
        <v>44981</v>
      </c>
      <c r="Q39" s="118">
        <v>44913</v>
      </c>
      <c r="R39" s="118">
        <v>44919</v>
      </c>
      <c r="S39" s="119">
        <v>52</v>
      </c>
      <c r="T39" s="119">
        <v>13</v>
      </c>
      <c r="U39" s="119">
        <v>5</v>
      </c>
      <c r="V39" s="119">
        <v>0</v>
      </c>
      <c r="W39" s="119">
        <v>1</v>
      </c>
      <c r="X39" s="120">
        <v>0</v>
      </c>
      <c r="Y39" s="120">
        <v>5.6603773584905662E-2</v>
      </c>
      <c r="Z39" s="120">
        <v>0</v>
      </c>
      <c r="AC39" s="119">
        <v>0</v>
      </c>
    </row>
    <row r="40" spans="1:29">
      <c r="A40" s="121" t="s">
        <v>272</v>
      </c>
      <c r="B40" s="121" t="s">
        <v>225</v>
      </c>
      <c r="C40" s="121" t="s">
        <v>211</v>
      </c>
      <c r="D40" s="121" t="s">
        <v>221</v>
      </c>
      <c r="E40" s="121" t="s">
        <v>225</v>
      </c>
      <c r="M40" s="121" t="s">
        <v>226</v>
      </c>
      <c r="N40" s="121" t="s">
        <v>213</v>
      </c>
      <c r="O40" s="118">
        <v>44830</v>
      </c>
      <c r="P40" s="118">
        <v>44981</v>
      </c>
      <c r="Q40" s="118">
        <v>44920</v>
      </c>
      <c r="R40" s="118">
        <v>44926</v>
      </c>
      <c r="S40" s="119">
        <v>53</v>
      </c>
      <c r="T40" s="119">
        <v>14</v>
      </c>
      <c r="U40" s="119">
        <v>5</v>
      </c>
      <c r="V40" s="119">
        <v>0</v>
      </c>
      <c r="W40" s="119">
        <v>1</v>
      </c>
      <c r="X40" s="120">
        <v>0</v>
      </c>
      <c r="Y40" s="120">
        <v>5.6603773584905662E-2</v>
      </c>
      <c r="Z40" s="120">
        <v>0</v>
      </c>
      <c r="AC40" s="119">
        <v>0</v>
      </c>
    </row>
    <row r="41" spans="1:29">
      <c r="A41" s="121" t="s">
        <v>272</v>
      </c>
      <c r="B41" s="121" t="s">
        <v>225</v>
      </c>
      <c r="C41" s="121" t="s">
        <v>211</v>
      </c>
      <c r="D41" s="121" t="s">
        <v>221</v>
      </c>
      <c r="E41" s="121" t="s">
        <v>225</v>
      </c>
      <c r="M41" s="121" t="s">
        <v>226</v>
      </c>
      <c r="N41" s="121" t="s">
        <v>213</v>
      </c>
      <c r="O41" s="118">
        <v>44830</v>
      </c>
      <c r="P41" s="118">
        <v>44981</v>
      </c>
      <c r="Q41" s="118">
        <v>44927</v>
      </c>
      <c r="R41" s="118">
        <v>44933</v>
      </c>
      <c r="S41" s="119">
        <v>1</v>
      </c>
      <c r="T41" s="119">
        <v>15</v>
      </c>
      <c r="U41" s="119">
        <v>5</v>
      </c>
      <c r="V41" s="119">
        <v>0</v>
      </c>
      <c r="W41" s="119">
        <v>1</v>
      </c>
      <c r="X41" s="120">
        <v>0</v>
      </c>
      <c r="Y41" s="120">
        <v>5.6603773584905662E-2</v>
      </c>
      <c r="Z41" s="120">
        <v>0</v>
      </c>
      <c r="AC41" s="119">
        <v>0</v>
      </c>
    </row>
    <row r="42" spans="1:29">
      <c r="A42" s="121" t="s">
        <v>272</v>
      </c>
      <c r="B42" s="121" t="s">
        <v>225</v>
      </c>
      <c r="C42" s="121" t="s">
        <v>211</v>
      </c>
      <c r="D42" s="121" t="s">
        <v>221</v>
      </c>
      <c r="E42" s="121" t="s">
        <v>225</v>
      </c>
      <c r="M42" s="121" t="s">
        <v>226</v>
      </c>
      <c r="N42" s="121" t="s">
        <v>213</v>
      </c>
      <c r="O42" s="118">
        <v>44830</v>
      </c>
      <c r="P42" s="118">
        <v>44981</v>
      </c>
      <c r="Q42" s="118">
        <v>44934</v>
      </c>
      <c r="R42" s="118">
        <v>44940</v>
      </c>
      <c r="S42" s="119">
        <v>2</v>
      </c>
      <c r="T42" s="119">
        <v>16</v>
      </c>
      <c r="U42" s="119">
        <v>5</v>
      </c>
      <c r="V42" s="119">
        <v>0</v>
      </c>
      <c r="W42" s="119">
        <v>1</v>
      </c>
      <c r="X42" s="120">
        <v>0</v>
      </c>
      <c r="Y42" s="120">
        <v>5.6603773584905662E-2</v>
      </c>
      <c r="Z42" s="120">
        <v>0</v>
      </c>
      <c r="AC42" s="119">
        <v>0</v>
      </c>
    </row>
    <row r="43" spans="1:29">
      <c r="A43" s="121" t="s">
        <v>272</v>
      </c>
      <c r="B43" s="121" t="s">
        <v>225</v>
      </c>
      <c r="C43" s="121" t="s">
        <v>211</v>
      </c>
      <c r="D43" s="121" t="s">
        <v>221</v>
      </c>
      <c r="E43" s="121" t="s">
        <v>225</v>
      </c>
      <c r="M43" s="121" t="s">
        <v>226</v>
      </c>
      <c r="N43" s="121" t="s">
        <v>213</v>
      </c>
      <c r="O43" s="118">
        <v>44830</v>
      </c>
      <c r="P43" s="118">
        <v>44981</v>
      </c>
      <c r="Q43" s="118">
        <v>44941</v>
      </c>
      <c r="R43" s="118">
        <v>44947</v>
      </c>
      <c r="S43" s="119">
        <v>3</v>
      </c>
      <c r="T43" s="119">
        <v>17</v>
      </c>
      <c r="U43" s="119">
        <v>5</v>
      </c>
      <c r="V43" s="119">
        <v>0</v>
      </c>
      <c r="W43" s="119">
        <v>1</v>
      </c>
      <c r="X43" s="120">
        <v>0</v>
      </c>
      <c r="Y43" s="120">
        <v>5.6603773584905662E-2</v>
      </c>
      <c r="Z43" s="120">
        <v>0</v>
      </c>
      <c r="AC43" s="119">
        <v>0</v>
      </c>
    </row>
    <row r="44" spans="1:29">
      <c r="A44" s="121" t="s">
        <v>272</v>
      </c>
      <c r="B44" s="121" t="s">
        <v>225</v>
      </c>
      <c r="C44" s="121" t="s">
        <v>211</v>
      </c>
      <c r="D44" s="121" t="s">
        <v>221</v>
      </c>
      <c r="E44" s="121" t="s">
        <v>225</v>
      </c>
      <c r="M44" s="121" t="s">
        <v>226</v>
      </c>
      <c r="N44" s="121" t="s">
        <v>213</v>
      </c>
      <c r="O44" s="118">
        <v>44830</v>
      </c>
      <c r="P44" s="118">
        <v>44981</v>
      </c>
      <c r="Q44" s="118">
        <v>44948</v>
      </c>
      <c r="R44" s="118">
        <v>44954</v>
      </c>
      <c r="S44" s="119">
        <v>4</v>
      </c>
      <c r="T44" s="119">
        <v>18</v>
      </c>
      <c r="U44" s="119">
        <v>3</v>
      </c>
      <c r="V44" s="119">
        <v>0</v>
      </c>
      <c r="W44" s="119">
        <v>1</v>
      </c>
      <c r="X44" s="120">
        <v>0</v>
      </c>
      <c r="Y44" s="120">
        <v>5.6603773584905662E-2</v>
      </c>
      <c r="Z44" s="120">
        <v>0</v>
      </c>
      <c r="AC44" s="119">
        <v>0</v>
      </c>
    </row>
    <row r="45" spans="1:29">
      <c r="A45" s="121" t="s">
        <v>272</v>
      </c>
      <c r="B45" s="121" t="s">
        <v>225</v>
      </c>
      <c r="C45" s="121" t="s">
        <v>211</v>
      </c>
      <c r="D45" s="121" t="s">
        <v>221</v>
      </c>
      <c r="E45" s="121" t="s">
        <v>225</v>
      </c>
      <c r="M45" s="121" t="s">
        <v>226</v>
      </c>
      <c r="N45" s="121" t="s">
        <v>213</v>
      </c>
      <c r="O45" s="118">
        <v>44830</v>
      </c>
      <c r="P45" s="118">
        <v>44981</v>
      </c>
      <c r="Q45" s="118">
        <v>44955</v>
      </c>
      <c r="R45" s="118">
        <v>44961</v>
      </c>
      <c r="S45" s="119">
        <v>5</v>
      </c>
      <c r="T45" s="119">
        <v>19</v>
      </c>
      <c r="U45" s="119">
        <v>5</v>
      </c>
      <c r="V45" s="119">
        <v>0</v>
      </c>
      <c r="W45" s="119">
        <v>1</v>
      </c>
      <c r="X45" s="120">
        <v>0</v>
      </c>
      <c r="Y45" s="120">
        <v>5.6603773584905662E-2</v>
      </c>
      <c r="Z45" s="120">
        <v>0</v>
      </c>
      <c r="AC45" s="119">
        <v>0</v>
      </c>
    </row>
    <row r="46" spans="1:29">
      <c r="A46" s="121" t="s">
        <v>272</v>
      </c>
      <c r="B46" s="121" t="s">
        <v>225</v>
      </c>
      <c r="C46" s="121" t="s">
        <v>211</v>
      </c>
      <c r="D46" s="121" t="s">
        <v>221</v>
      </c>
      <c r="E46" s="121" t="s">
        <v>225</v>
      </c>
      <c r="M46" s="121" t="s">
        <v>226</v>
      </c>
      <c r="N46" s="121" t="s">
        <v>213</v>
      </c>
      <c r="O46" s="118">
        <v>44830</v>
      </c>
      <c r="P46" s="118">
        <v>44981</v>
      </c>
      <c r="Q46" s="118">
        <v>44962</v>
      </c>
      <c r="R46" s="118">
        <v>44968</v>
      </c>
      <c r="S46" s="119">
        <v>6</v>
      </c>
      <c r="T46" s="119">
        <v>20</v>
      </c>
      <c r="U46" s="119">
        <v>5</v>
      </c>
      <c r="V46" s="119">
        <v>0</v>
      </c>
      <c r="W46" s="119">
        <v>1</v>
      </c>
      <c r="X46" s="120">
        <v>0</v>
      </c>
      <c r="Y46" s="120">
        <v>5.6603773584905662E-2</v>
      </c>
      <c r="Z46" s="120">
        <v>0</v>
      </c>
      <c r="AC46" s="119">
        <v>0</v>
      </c>
    </row>
    <row r="47" spans="1:29">
      <c r="A47" s="121" t="s">
        <v>272</v>
      </c>
      <c r="B47" s="121" t="s">
        <v>225</v>
      </c>
      <c r="C47" s="121" t="s">
        <v>211</v>
      </c>
      <c r="D47" s="121" t="s">
        <v>221</v>
      </c>
      <c r="E47" s="121" t="s">
        <v>225</v>
      </c>
      <c r="M47" s="121" t="s">
        <v>226</v>
      </c>
      <c r="N47" s="121" t="s">
        <v>213</v>
      </c>
      <c r="O47" s="118">
        <v>44830</v>
      </c>
      <c r="P47" s="118">
        <v>44981</v>
      </c>
      <c r="Q47" s="118">
        <v>44969</v>
      </c>
      <c r="R47" s="118">
        <v>44975</v>
      </c>
      <c r="S47" s="119">
        <v>7</v>
      </c>
      <c r="T47" s="119">
        <v>21</v>
      </c>
      <c r="U47" s="119">
        <v>5</v>
      </c>
      <c r="V47" s="119">
        <v>0</v>
      </c>
      <c r="W47" s="119">
        <v>1</v>
      </c>
      <c r="X47" s="120">
        <v>0</v>
      </c>
      <c r="Y47" s="120">
        <v>5.6603773584905662E-2</v>
      </c>
      <c r="Z47" s="120">
        <v>0</v>
      </c>
      <c r="AC47" s="119">
        <v>0</v>
      </c>
    </row>
    <row r="48" spans="1:29">
      <c r="A48" s="121" t="s">
        <v>272</v>
      </c>
      <c r="B48" s="121" t="s">
        <v>225</v>
      </c>
      <c r="C48" s="121" t="s">
        <v>211</v>
      </c>
      <c r="D48" s="121" t="s">
        <v>221</v>
      </c>
      <c r="E48" s="121" t="s">
        <v>225</v>
      </c>
      <c r="M48" s="121" t="s">
        <v>226</v>
      </c>
      <c r="N48" s="121" t="s">
        <v>213</v>
      </c>
      <c r="O48" s="118">
        <v>44830</v>
      </c>
      <c r="P48" s="118">
        <v>44981</v>
      </c>
      <c r="Q48" s="118">
        <v>44976</v>
      </c>
      <c r="R48" s="118">
        <v>44982</v>
      </c>
      <c r="S48" s="119">
        <v>8</v>
      </c>
      <c r="T48" s="119">
        <v>22</v>
      </c>
      <c r="U48" s="119">
        <v>5</v>
      </c>
      <c r="V48" s="119">
        <v>0</v>
      </c>
      <c r="W48" s="119">
        <v>1</v>
      </c>
      <c r="X48" s="120">
        <v>0</v>
      </c>
      <c r="Y48" s="120">
        <v>5.6603773584905662E-2</v>
      </c>
      <c r="Z48" s="120">
        <v>0</v>
      </c>
      <c r="AC48" s="119">
        <v>0</v>
      </c>
    </row>
    <row r="49" spans="1:29">
      <c r="A49" s="121" t="s">
        <v>272</v>
      </c>
      <c r="B49" s="121" t="s">
        <v>229</v>
      </c>
      <c r="C49" s="121" t="s">
        <v>211</v>
      </c>
      <c r="D49" s="121" t="s">
        <v>227</v>
      </c>
      <c r="E49" s="121" t="s">
        <v>229</v>
      </c>
      <c r="M49" s="121" t="s">
        <v>230</v>
      </c>
      <c r="N49" s="121" t="s">
        <v>213</v>
      </c>
      <c r="O49" s="118">
        <v>44970</v>
      </c>
      <c r="P49" s="118">
        <v>44974</v>
      </c>
      <c r="Q49" s="118">
        <v>44969</v>
      </c>
      <c r="R49" s="118">
        <v>44975</v>
      </c>
      <c r="S49" s="119">
        <v>7</v>
      </c>
      <c r="T49" s="119">
        <v>21</v>
      </c>
      <c r="U49" s="119">
        <v>5</v>
      </c>
      <c r="V49" s="119">
        <v>0</v>
      </c>
      <c r="W49" s="119">
        <v>1</v>
      </c>
      <c r="X49" s="120">
        <v>0</v>
      </c>
      <c r="Y49" s="120">
        <v>0</v>
      </c>
      <c r="Z49" s="120">
        <v>0</v>
      </c>
      <c r="AC49" s="119">
        <v>0</v>
      </c>
    </row>
    <row r="50" spans="1:29">
      <c r="A50" s="121" t="s">
        <v>272</v>
      </c>
      <c r="B50" s="121" t="s">
        <v>232</v>
      </c>
      <c r="C50" s="121" t="s">
        <v>211</v>
      </c>
      <c r="D50" s="121" t="s">
        <v>227</v>
      </c>
      <c r="E50" s="121" t="s">
        <v>232</v>
      </c>
      <c r="M50" s="121" t="s">
        <v>233</v>
      </c>
      <c r="N50" s="121" t="s">
        <v>213</v>
      </c>
      <c r="O50" s="118">
        <v>44977</v>
      </c>
      <c r="P50" s="118">
        <v>44981</v>
      </c>
      <c r="Q50" s="118">
        <v>44976</v>
      </c>
      <c r="R50" s="118">
        <v>44982</v>
      </c>
      <c r="S50" s="119">
        <v>8</v>
      </c>
      <c r="T50" s="119">
        <v>22</v>
      </c>
      <c r="U50" s="119">
        <v>5</v>
      </c>
      <c r="V50" s="119">
        <v>0</v>
      </c>
      <c r="W50" s="119">
        <v>1</v>
      </c>
      <c r="X50" s="120">
        <v>0</v>
      </c>
      <c r="Y50" s="120">
        <v>0</v>
      </c>
      <c r="Z50" s="120">
        <v>0</v>
      </c>
      <c r="AC50" s="119">
        <v>0</v>
      </c>
    </row>
    <row r="51" spans="1:29">
      <c r="A51" s="121" t="s">
        <v>272</v>
      </c>
      <c r="B51" s="121" t="s">
        <v>240</v>
      </c>
      <c r="C51" s="121" t="s">
        <v>234</v>
      </c>
      <c r="D51" s="121" t="s">
        <v>237</v>
      </c>
      <c r="E51" s="121" t="s">
        <v>240</v>
      </c>
      <c r="M51" s="121" t="s">
        <v>241</v>
      </c>
      <c r="N51" s="121" t="s">
        <v>434</v>
      </c>
      <c r="O51" s="118">
        <v>44830</v>
      </c>
      <c r="P51" s="118">
        <v>44834</v>
      </c>
      <c r="Q51" s="118">
        <v>44830</v>
      </c>
      <c r="R51" s="118">
        <v>44835</v>
      </c>
      <c r="S51" s="119">
        <v>40</v>
      </c>
      <c r="T51" s="119">
        <v>1</v>
      </c>
      <c r="U51" s="119">
        <v>2.5</v>
      </c>
      <c r="V51" s="119">
        <v>2.5</v>
      </c>
      <c r="W51" s="119">
        <v>1</v>
      </c>
      <c r="X51" s="120">
        <v>0</v>
      </c>
      <c r="Y51" s="120">
        <v>1</v>
      </c>
      <c r="Z51" s="120">
        <v>0</v>
      </c>
      <c r="AC51" s="119">
        <v>0</v>
      </c>
    </row>
    <row r="52" spans="1:29">
      <c r="A52" s="121" t="s">
        <v>272</v>
      </c>
      <c r="B52" s="121" t="s">
        <v>240</v>
      </c>
      <c r="C52" s="121" t="s">
        <v>234</v>
      </c>
      <c r="D52" s="121" t="s">
        <v>237</v>
      </c>
      <c r="E52" s="121" t="s">
        <v>240</v>
      </c>
      <c r="M52" s="121" t="s">
        <v>241</v>
      </c>
      <c r="N52" s="121" t="s">
        <v>433</v>
      </c>
      <c r="O52" s="118">
        <v>44830</v>
      </c>
      <c r="P52" s="118">
        <v>44834</v>
      </c>
      <c r="Q52" s="118">
        <v>44830</v>
      </c>
      <c r="R52" s="118">
        <v>44835</v>
      </c>
      <c r="S52" s="119">
        <v>40</v>
      </c>
      <c r="T52" s="119">
        <v>1</v>
      </c>
      <c r="U52" s="119">
        <v>2.5</v>
      </c>
      <c r="V52" s="119">
        <v>2.5</v>
      </c>
      <c r="W52" s="119">
        <v>1</v>
      </c>
      <c r="X52" s="120">
        <v>0</v>
      </c>
      <c r="Y52" s="120">
        <v>1</v>
      </c>
      <c r="Z52" s="120">
        <v>0</v>
      </c>
      <c r="AC52" s="119">
        <v>0</v>
      </c>
    </row>
    <row r="53" spans="1:29">
      <c r="A53" s="121" t="s">
        <v>272</v>
      </c>
      <c r="B53" s="121" t="s">
        <v>244</v>
      </c>
      <c r="C53" s="121" t="s">
        <v>234</v>
      </c>
      <c r="D53" s="121" t="s">
        <v>237</v>
      </c>
      <c r="E53" s="121" t="s">
        <v>244</v>
      </c>
      <c r="M53" s="121" t="s">
        <v>245</v>
      </c>
      <c r="N53" s="121" t="s">
        <v>247</v>
      </c>
      <c r="O53" s="118">
        <v>44832</v>
      </c>
      <c r="P53" s="118">
        <v>44846</v>
      </c>
      <c r="Q53" s="118">
        <v>44830</v>
      </c>
      <c r="R53" s="118">
        <v>44835</v>
      </c>
      <c r="S53" s="119">
        <v>40</v>
      </c>
      <c r="T53" s="119">
        <v>1</v>
      </c>
      <c r="U53" s="119">
        <v>3</v>
      </c>
      <c r="V53" s="119">
        <v>3</v>
      </c>
      <c r="W53" s="119">
        <v>1</v>
      </c>
      <c r="X53" s="120">
        <v>0</v>
      </c>
      <c r="Y53" s="120">
        <v>0.44444444444444442</v>
      </c>
      <c r="Z53" s="120">
        <v>0</v>
      </c>
      <c r="AC53" s="119">
        <v>0</v>
      </c>
    </row>
    <row r="54" spans="1:29">
      <c r="A54" s="121" t="s">
        <v>272</v>
      </c>
      <c r="B54" s="121" t="s">
        <v>244</v>
      </c>
      <c r="C54" s="121" t="s">
        <v>234</v>
      </c>
      <c r="D54" s="121" t="s">
        <v>237</v>
      </c>
      <c r="E54" s="121" t="s">
        <v>244</v>
      </c>
      <c r="M54" s="121" t="s">
        <v>245</v>
      </c>
      <c r="N54" s="121" t="s">
        <v>247</v>
      </c>
      <c r="O54" s="118">
        <v>44832</v>
      </c>
      <c r="P54" s="118">
        <v>44846</v>
      </c>
      <c r="Q54" s="118">
        <v>44836</v>
      </c>
      <c r="R54" s="118">
        <v>44842</v>
      </c>
      <c r="S54" s="119">
        <v>41</v>
      </c>
      <c r="T54" s="119">
        <v>2</v>
      </c>
      <c r="U54" s="119">
        <v>4</v>
      </c>
      <c r="V54" s="119">
        <v>1</v>
      </c>
      <c r="W54" s="119">
        <v>1</v>
      </c>
      <c r="X54" s="120">
        <v>0</v>
      </c>
      <c r="Y54" s="120">
        <v>0.44444444444444442</v>
      </c>
      <c r="Z54" s="120">
        <v>0</v>
      </c>
      <c r="AC54" s="119">
        <v>0</v>
      </c>
    </row>
    <row r="55" spans="1:29">
      <c r="A55" s="121" t="s">
        <v>272</v>
      </c>
      <c r="B55" s="121" t="s">
        <v>244</v>
      </c>
      <c r="C55" s="121" t="s">
        <v>234</v>
      </c>
      <c r="D55" s="121" t="s">
        <v>237</v>
      </c>
      <c r="E55" s="121" t="s">
        <v>244</v>
      </c>
      <c r="M55" s="121" t="s">
        <v>245</v>
      </c>
      <c r="N55" s="121" t="s">
        <v>247</v>
      </c>
      <c r="O55" s="118">
        <v>44832</v>
      </c>
      <c r="P55" s="118">
        <v>44846</v>
      </c>
      <c r="Q55" s="118">
        <v>44843</v>
      </c>
      <c r="R55" s="118">
        <v>44849</v>
      </c>
      <c r="S55" s="119">
        <v>42</v>
      </c>
      <c r="T55" s="119">
        <v>3</v>
      </c>
      <c r="U55" s="119">
        <v>2</v>
      </c>
      <c r="V55" s="119">
        <v>0</v>
      </c>
      <c r="W55" s="119">
        <v>1</v>
      </c>
      <c r="X55" s="120">
        <v>0</v>
      </c>
      <c r="Y55" s="120">
        <v>0.44444444444444442</v>
      </c>
      <c r="Z55" s="120">
        <v>0</v>
      </c>
      <c r="AC55" s="119">
        <v>0</v>
      </c>
    </row>
    <row r="56" spans="1:29">
      <c r="A56" s="121" t="s">
        <v>272</v>
      </c>
      <c r="B56" s="121" t="s">
        <v>249</v>
      </c>
      <c r="C56" s="121" t="s">
        <v>234</v>
      </c>
      <c r="D56" s="121" t="s">
        <v>237</v>
      </c>
      <c r="E56" s="121" t="s">
        <v>249</v>
      </c>
      <c r="M56" s="121" t="s">
        <v>250</v>
      </c>
      <c r="N56" s="121" t="s">
        <v>430</v>
      </c>
      <c r="O56" s="118">
        <v>44838</v>
      </c>
      <c r="P56" s="118">
        <v>44848</v>
      </c>
      <c r="Q56" s="118">
        <v>44836</v>
      </c>
      <c r="R56" s="118">
        <v>44842</v>
      </c>
      <c r="S56" s="119">
        <v>41</v>
      </c>
      <c r="T56" s="119">
        <v>2</v>
      </c>
      <c r="U56" s="119">
        <v>1.3333333333333333</v>
      </c>
      <c r="V56" s="119">
        <v>0.33333333333333331</v>
      </c>
      <c r="W56" s="119">
        <v>1</v>
      </c>
      <c r="X56" s="120">
        <v>0</v>
      </c>
      <c r="Y56" s="120">
        <v>0.125</v>
      </c>
      <c r="Z56" s="120">
        <v>0</v>
      </c>
      <c r="AC56" s="119">
        <v>0</v>
      </c>
    </row>
    <row r="57" spans="1:29">
      <c r="A57" s="121" t="s">
        <v>272</v>
      </c>
      <c r="B57" s="121" t="s">
        <v>249</v>
      </c>
      <c r="C57" s="121" t="s">
        <v>234</v>
      </c>
      <c r="D57" s="121" t="s">
        <v>237</v>
      </c>
      <c r="E57" s="121" t="s">
        <v>249</v>
      </c>
      <c r="M57" s="121" t="s">
        <v>250</v>
      </c>
      <c r="N57" s="121" t="s">
        <v>434</v>
      </c>
      <c r="O57" s="118">
        <v>44838</v>
      </c>
      <c r="P57" s="118">
        <v>44848</v>
      </c>
      <c r="Q57" s="118">
        <v>44836</v>
      </c>
      <c r="R57" s="118">
        <v>44842</v>
      </c>
      <c r="S57" s="119">
        <v>41</v>
      </c>
      <c r="T57" s="119">
        <v>2</v>
      </c>
      <c r="U57" s="119">
        <v>1.3333333333333333</v>
      </c>
      <c r="V57" s="119">
        <v>0.33333333333333331</v>
      </c>
      <c r="W57" s="119">
        <v>1</v>
      </c>
      <c r="X57" s="120">
        <v>0</v>
      </c>
      <c r="Y57" s="120">
        <v>0.125</v>
      </c>
      <c r="Z57" s="120">
        <v>0</v>
      </c>
      <c r="AC57" s="119">
        <v>0</v>
      </c>
    </row>
    <row r="58" spans="1:29">
      <c r="A58" s="121" t="s">
        <v>272</v>
      </c>
      <c r="B58" s="121" t="s">
        <v>249</v>
      </c>
      <c r="C58" s="121" t="s">
        <v>234</v>
      </c>
      <c r="D58" s="121" t="s">
        <v>237</v>
      </c>
      <c r="E58" s="121" t="s">
        <v>249</v>
      </c>
      <c r="M58" s="121" t="s">
        <v>250</v>
      </c>
      <c r="N58" s="121" t="s">
        <v>433</v>
      </c>
      <c r="O58" s="118">
        <v>44838</v>
      </c>
      <c r="P58" s="118">
        <v>44848</v>
      </c>
      <c r="Q58" s="118">
        <v>44836</v>
      </c>
      <c r="R58" s="118">
        <v>44842</v>
      </c>
      <c r="S58" s="119">
        <v>41</v>
      </c>
      <c r="T58" s="119">
        <v>2</v>
      </c>
      <c r="U58" s="119">
        <v>1.3333333333333333</v>
      </c>
      <c r="V58" s="119">
        <v>0.33333333333333331</v>
      </c>
      <c r="W58" s="119">
        <v>1</v>
      </c>
      <c r="X58" s="120">
        <v>0</v>
      </c>
      <c r="Y58" s="120">
        <v>0.125</v>
      </c>
      <c r="Z58" s="120">
        <v>0</v>
      </c>
      <c r="AC58" s="119">
        <v>0</v>
      </c>
    </row>
    <row r="59" spans="1:29">
      <c r="A59" s="121" t="s">
        <v>272</v>
      </c>
      <c r="B59" s="121" t="s">
        <v>249</v>
      </c>
      <c r="C59" s="121" t="s">
        <v>234</v>
      </c>
      <c r="D59" s="121" t="s">
        <v>237</v>
      </c>
      <c r="E59" s="121" t="s">
        <v>249</v>
      </c>
      <c r="M59" s="121" t="s">
        <v>250</v>
      </c>
      <c r="N59" s="121" t="s">
        <v>430</v>
      </c>
      <c r="O59" s="118">
        <v>44838</v>
      </c>
      <c r="P59" s="118">
        <v>44848</v>
      </c>
      <c r="Q59" s="118">
        <v>44843</v>
      </c>
      <c r="R59" s="118">
        <v>44849</v>
      </c>
      <c r="S59" s="119">
        <v>42</v>
      </c>
      <c r="T59" s="119">
        <v>3</v>
      </c>
      <c r="U59" s="119">
        <v>1.3333333333333333</v>
      </c>
      <c r="V59" s="119">
        <v>0</v>
      </c>
      <c r="W59" s="119">
        <v>1</v>
      </c>
      <c r="X59" s="120">
        <v>0</v>
      </c>
      <c r="Y59" s="120">
        <v>0.125</v>
      </c>
      <c r="Z59" s="120">
        <v>0</v>
      </c>
      <c r="AC59" s="119">
        <v>0</v>
      </c>
    </row>
    <row r="60" spans="1:29">
      <c r="A60" s="121" t="s">
        <v>272</v>
      </c>
      <c r="B60" s="121" t="s">
        <v>249</v>
      </c>
      <c r="C60" s="121" t="s">
        <v>234</v>
      </c>
      <c r="D60" s="121" t="s">
        <v>237</v>
      </c>
      <c r="E60" s="121" t="s">
        <v>249</v>
      </c>
      <c r="M60" s="121" t="s">
        <v>250</v>
      </c>
      <c r="N60" s="121" t="s">
        <v>434</v>
      </c>
      <c r="O60" s="118">
        <v>44838</v>
      </c>
      <c r="P60" s="118">
        <v>44848</v>
      </c>
      <c r="Q60" s="118">
        <v>44843</v>
      </c>
      <c r="R60" s="118">
        <v>44849</v>
      </c>
      <c r="S60" s="119">
        <v>42</v>
      </c>
      <c r="T60" s="119">
        <v>3</v>
      </c>
      <c r="U60" s="119">
        <v>1.3333333333333333</v>
      </c>
      <c r="V60" s="119">
        <v>0</v>
      </c>
      <c r="W60" s="119">
        <v>1</v>
      </c>
      <c r="X60" s="120">
        <v>0</v>
      </c>
      <c r="Y60" s="120">
        <v>0.125</v>
      </c>
      <c r="Z60" s="120">
        <v>0</v>
      </c>
      <c r="AC60" s="119">
        <v>0</v>
      </c>
    </row>
    <row r="61" spans="1:29">
      <c r="A61" s="121" t="s">
        <v>272</v>
      </c>
      <c r="B61" s="121" t="s">
        <v>249</v>
      </c>
      <c r="C61" s="121" t="s">
        <v>234</v>
      </c>
      <c r="D61" s="121" t="s">
        <v>237</v>
      </c>
      <c r="E61" s="121" t="s">
        <v>249</v>
      </c>
      <c r="M61" s="121" t="s">
        <v>250</v>
      </c>
      <c r="N61" s="121" t="s">
        <v>433</v>
      </c>
      <c r="O61" s="118">
        <v>44838</v>
      </c>
      <c r="P61" s="118">
        <v>44848</v>
      </c>
      <c r="Q61" s="118">
        <v>44843</v>
      </c>
      <c r="R61" s="118">
        <v>44849</v>
      </c>
      <c r="S61" s="119">
        <v>42</v>
      </c>
      <c r="T61" s="119">
        <v>3</v>
      </c>
      <c r="U61" s="119">
        <v>1.3333333333333333</v>
      </c>
      <c r="V61" s="119">
        <v>0</v>
      </c>
      <c r="W61" s="119">
        <v>1</v>
      </c>
      <c r="X61" s="120">
        <v>0</v>
      </c>
      <c r="Y61" s="120">
        <v>0.125</v>
      </c>
      <c r="Z61" s="120">
        <v>0</v>
      </c>
      <c r="AC61" s="119">
        <v>0</v>
      </c>
    </row>
    <row r="62" spans="1:29">
      <c r="A62" s="121" t="s">
        <v>272</v>
      </c>
      <c r="B62" s="121" t="s">
        <v>255</v>
      </c>
      <c r="C62" s="121" t="s">
        <v>234</v>
      </c>
      <c r="D62" s="121" t="s">
        <v>252</v>
      </c>
      <c r="E62" s="121" t="s">
        <v>255</v>
      </c>
      <c r="M62" s="121" t="s">
        <v>256</v>
      </c>
      <c r="N62" s="121" t="s">
        <v>434</v>
      </c>
      <c r="O62" s="118">
        <v>44832</v>
      </c>
      <c r="P62" s="118">
        <v>44839</v>
      </c>
      <c r="Q62" s="118">
        <v>44830</v>
      </c>
      <c r="R62" s="118">
        <v>44835</v>
      </c>
      <c r="S62" s="119">
        <v>40</v>
      </c>
      <c r="T62" s="119">
        <v>1</v>
      </c>
      <c r="U62" s="119">
        <v>1.5</v>
      </c>
      <c r="V62" s="119">
        <v>1.5</v>
      </c>
      <c r="W62" s="119">
        <v>1</v>
      </c>
      <c r="X62" s="120">
        <v>0</v>
      </c>
      <c r="Y62" s="120">
        <v>0.8</v>
      </c>
      <c r="Z62" s="120">
        <v>0</v>
      </c>
      <c r="AC62" s="119">
        <v>0</v>
      </c>
    </row>
    <row r="63" spans="1:29">
      <c r="A63" s="121" t="s">
        <v>272</v>
      </c>
      <c r="B63" s="121" t="s">
        <v>255</v>
      </c>
      <c r="C63" s="121" t="s">
        <v>234</v>
      </c>
      <c r="D63" s="121" t="s">
        <v>252</v>
      </c>
      <c r="E63" s="121" t="s">
        <v>255</v>
      </c>
      <c r="M63" s="121" t="s">
        <v>256</v>
      </c>
      <c r="N63" s="121" t="s">
        <v>433</v>
      </c>
      <c r="O63" s="118">
        <v>44832</v>
      </c>
      <c r="P63" s="118">
        <v>44839</v>
      </c>
      <c r="Q63" s="118">
        <v>44830</v>
      </c>
      <c r="R63" s="118">
        <v>44835</v>
      </c>
      <c r="S63" s="119">
        <v>40</v>
      </c>
      <c r="T63" s="119">
        <v>1</v>
      </c>
      <c r="U63" s="119">
        <v>1.5</v>
      </c>
      <c r="V63" s="119">
        <v>1.5</v>
      </c>
      <c r="W63" s="119">
        <v>1</v>
      </c>
      <c r="X63" s="120">
        <v>0</v>
      </c>
      <c r="Y63" s="120">
        <v>0.8</v>
      </c>
      <c r="Z63" s="120">
        <v>0</v>
      </c>
      <c r="AC63" s="119">
        <v>0</v>
      </c>
    </row>
    <row r="64" spans="1:29">
      <c r="A64" s="121" t="s">
        <v>272</v>
      </c>
      <c r="B64" s="121" t="s">
        <v>255</v>
      </c>
      <c r="C64" s="121" t="s">
        <v>234</v>
      </c>
      <c r="D64" s="121" t="s">
        <v>252</v>
      </c>
      <c r="E64" s="121" t="s">
        <v>255</v>
      </c>
      <c r="M64" s="121" t="s">
        <v>256</v>
      </c>
      <c r="N64" s="121" t="s">
        <v>434</v>
      </c>
      <c r="O64" s="118">
        <v>44832</v>
      </c>
      <c r="P64" s="118">
        <v>44839</v>
      </c>
      <c r="Q64" s="118">
        <v>44836</v>
      </c>
      <c r="R64" s="118">
        <v>44842</v>
      </c>
      <c r="S64" s="119">
        <v>41</v>
      </c>
      <c r="T64" s="119">
        <v>2</v>
      </c>
      <c r="U64" s="119">
        <v>1</v>
      </c>
      <c r="V64" s="119">
        <v>0.5</v>
      </c>
      <c r="W64" s="119">
        <v>1</v>
      </c>
      <c r="X64" s="120">
        <v>0</v>
      </c>
      <c r="Y64" s="120">
        <v>0.8</v>
      </c>
      <c r="Z64" s="120">
        <v>0</v>
      </c>
      <c r="AC64" s="119">
        <v>0</v>
      </c>
    </row>
    <row r="65" spans="1:29">
      <c r="A65" s="121" t="s">
        <v>272</v>
      </c>
      <c r="B65" s="121" t="s">
        <v>255</v>
      </c>
      <c r="C65" s="121" t="s">
        <v>234</v>
      </c>
      <c r="D65" s="121" t="s">
        <v>252</v>
      </c>
      <c r="E65" s="121" t="s">
        <v>255</v>
      </c>
      <c r="M65" s="121" t="s">
        <v>256</v>
      </c>
      <c r="N65" s="121" t="s">
        <v>433</v>
      </c>
      <c r="O65" s="118">
        <v>44832</v>
      </c>
      <c r="P65" s="118">
        <v>44839</v>
      </c>
      <c r="Q65" s="118">
        <v>44836</v>
      </c>
      <c r="R65" s="118">
        <v>44842</v>
      </c>
      <c r="S65" s="119">
        <v>41</v>
      </c>
      <c r="T65" s="119">
        <v>2</v>
      </c>
      <c r="U65" s="119">
        <v>1</v>
      </c>
      <c r="V65" s="119">
        <v>0.5</v>
      </c>
      <c r="W65" s="119">
        <v>1</v>
      </c>
      <c r="X65" s="120">
        <v>0</v>
      </c>
      <c r="Y65" s="120">
        <v>0.8</v>
      </c>
      <c r="Z65" s="120">
        <v>0</v>
      </c>
      <c r="AC65" s="119">
        <v>0</v>
      </c>
    </row>
    <row r="66" spans="1:29">
      <c r="A66" s="121" t="s">
        <v>272</v>
      </c>
      <c r="B66" s="121" t="s">
        <v>258</v>
      </c>
      <c r="C66" s="121" t="s">
        <v>234</v>
      </c>
      <c r="D66" s="121" t="s">
        <v>252</v>
      </c>
      <c r="E66" s="121" t="s">
        <v>258</v>
      </c>
      <c r="M66" s="121" t="s">
        <v>259</v>
      </c>
      <c r="N66" s="121" t="s">
        <v>247</v>
      </c>
      <c r="O66" s="118">
        <v>44840</v>
      </c>
      <c r="P66" s="118">
        <v>44841</v>
      </c>
      <c r="Q66" s="118">
        <v>44836</v>
      </c>
      <c r="R66" s="118">
        <v>44842</v>
      </c>
      <c r="S66" s="119">
        <v>41</v>
      </c>
      <c r="T66" s="119">
        <v>2</v>
      </c>
      <c r="U66" s="119">
        <v>2</v>
      </c>
      <c r="V66" s="119">
        <v>0</v>
      </c>
      <c r="W66" s="119">
        <v>1</v>
      </c>
      <c r="X66" s="120">
        <v>0</v>
      </c>
      <c r="Y66" s="120">
        <v>0</v>
      </c>
      <c r="Z66" s="120">
        <v>0</v>
      </c>
      <c r="AC66" s="119">
        <v>0</v>
      </c>
    </row>
    <row r="67" spans="1:29">
      <c r="A67" s="121" t="s">
        <v>272</v>
      </c>
      <c r="B67" s="121" t="s">
        <v>261</v>
      </c>
      <c r="C67" s="121" t="s">
        <v>234</v>
      </c>
      <c r="D67" s="121" t="s">
        <v>252</v>
      </c>
      <c r="E67" s="121" t="s">
        <v>261</v>
      </c>
      <c r="M67" s="121" t="s">
        <v>262</v>
      </c>
      <c r="N67" s="121" t="s">
        <v>430</v>
      </c>
      <c r="O67" s="118">
        <v>44845</v>
      </c>
      <c r="P67" s="118">
        <v>44862</v>
      </c>
      <c r="Q67" s="118">
        <v>44843</v>
      </c>
      <c r="R67" s="118">
        <v>44849</v>
      </c>
      <c r="S67" s="119">
        <v>42</v>
      </c>
      <c r="T67" s="119">
        <v>3</v>
      </c>
      <c r="U67" s="119">
        <v>0.8</v>
      </c>
      <c r="V67" s="119">
        <v>0</v>
      </c>
      <c r="W67" s="119">
        <v>1</v>
      </c>
      <c r="X67" s="120">
        <v>0</v>
      </c>
      <c r="Y67" s="120">
        <v>0</v>
      </c>
      <c r="Z67" s="120">
        <v>0</v>
      </c>
      <c r="AC67" s="119">
        <v>0</v>
      </c>
    </row>
    <row r="68" spans="1:29">
      <c r="A68" s="121" t="s">
        <v>272</v>
      </c>
      <c r="B68" s="121" t="s">
        <v>261</v>
      </c>
      <c r="C68" s="121" t="s">
        <v>234</v>
      </c>
      <c r="D68" s="121" t="s">
        <v>252</v>
      </c>
      <c r="E68" s="121" t="s">
        <v>261</v>
      </c>
      <c r="M68" s="121" t="s">
        <v>262</v>
      </c>
      <c r="N68" s="121" t="s">
        <v>213</v>
      </c>
      <c r="O68" s="118">
        <v>44845</v>
      </c>
      <c r="P68" s="118">
        <v>44862</v>
      </c>
      <c r="Q68" s="118">
        <v>44843</v>
      </c>
      <c r="R68" s="118">
        <v>44849</v>
      </c>
      <c r="S68" s="119">
        <v>42</v>
      </c>
      <c r="T68" s="119">
        <v>3</v>
      </c>
      <c r="U68" s="119">
        <v>0.8</v>
      </c>
      <c r="V68" s="119">
        <v>0</v>
      </c>
      <c r="W68" s="119">
        <v>1</v>
      </c>
      <c r="X68" s="120">
        <v>0</v>
      </c>
      <c r="Y68" s="120">
        <v>0</v>
      </c>
      <c r="Z68" s="120">
        <v>0</v>
      </c>
      <c r="AC68" s="119">
        <v>0</v>
      </c>
    </row>
    <row r="69" spans="1:29">
      <c r="A69" s="121" t="s">
        <v>272</v>
      </c>
      <c r="B69" s="121" t="s">
        <v>261</v>
      </c>
      <c r="C69" s="121" t="s">
        <v>234</v>
      </c>
      <c r="D69" s="121" t="s">
        <v>252</v>
      </c>
      <c r="E69" s="121" t="s">
        <v>261</v>
      </c>
      <c r="M69" s="121" t="s">
        <v>262</v>
      </c>
      <c r="N69" s="121" t="s">
        <v>434</v>
      </c>
      <c r="O69" s="118">
        <v>44845</v>
      </c>
      <c r="P69" s="118">
        <v>44862</v>
      </c>
      <c r="Q69" s="118">
        <v>44843</v>
      </c>
      <c r="R69" s="118">
        <v>44849</v>
      </c>
      <c r="S69" s="119">
        <v>42</v>
      </c>
      <c r="T69" s="119">
        <v>3</v>
      </c>
      <c r="U69" s="119">
        <v>0.8</v>
      </c>
      <c r="V69" s="119">
        <v>0</v>
      </c>
      <c r="W69" s="119">
        <v>1</v>
      </c>
      <c r="X69" s="120">
        <v>0</v>
      </c>
      <c r="Y69" s="120">
        <v>0</v>
      </c>
      <c r="Z69" s="120">
        <v>0</v>
      </c>
      <c r="AC69" s="119">
        <v>0</v>
      </c>
    </row>
    <row r="70" spans="1:29">
      <c r="A70" s="121" t="s">
        <v>272</v>
      </c>
      <c r="B70" s="121" t="s">
        <v>261</v>
      </c>
      <c r="C70" s="121" t="s">
        <v>234</v>
      </c>
      <c r="D70" s="121" t="s">
        <v>252</v>
      </c>
      <c r="E70" s="121" t="s">
        <v>261</v>
      </c>
      <c r="M70" s="121" t="s">
        <v>262</v>
      </c>
      <c r="N70" s="121" t="s">
        <v>433</v>
      </c>
      <c r="O70" s="118">
        <v>44845</v>
      </c>
      <c r="P70" s="118">
        <v>44862</v>
      </c>
      <c r="Q70" s="118">
        <v>44843</v>
      </c>
      <c r="R70" s="118">
        <v>44849</v>
      </c>
      <c r="S70" s="119">
        <v>42</v>
      </c>
      <c r="T70" s="119">
        <v>3</v>
      </c>
      <c r="U70" s="119">
        <v>0.8</v>
      </c>
      <c r="V70" s="119">
        <v>0</v>
      </c>
      <c r="W70" s="119">
        <v>1</v>
      </c>
      <c r="X70" s="120">
        <v>0</v>
      </c>
      <c r="Y70" s="120">
        <v>0</v>
      </c>
      <c r="Z70" s="120">
        <v>0</v>
      </c>
      <c r="AC70" s="119">
        <v>0</v>
      </c>
    </row>
    <row r="71" spans="1:29">
      <c r="A71" s="121" t="s">
        <v>272</v>
      </c>
      <c r="B71" s="121" t="s">
        <v>261</v>
      </c>
      <c r="C71" s="121" t="s">
        <v>234</v>
      </c>
      <c r="D71" s="121" t="s">
        <v>252</v>
      </c>
      <c r="E71" s="121" t="s">
        <v>261</v>
      </c>
      <c r="M71" s="121" t="s">
        <v>262</v>
      </c>
      <c r="N71" s="121" t="s">
        <v>432</v>
      </c>
      <c r="O71" s="118">
        <v>44845</v>
      </c>
      <c r="P71" s="118">
        <v>44862</v>
      </c>
      <c r="Q71" s="118">
        <v>44843</v>
      </c>
      <c r="R71" s="118">
        <v>44849</v>
      </c>
      <c r="S71" s="119">
        <v>42</v>
      </c>
      <c r="T71" s="119">
        <v>3</v>
      </c>
      <c r="U71" s="119">
        <v>0.8</v>
      </c>
      <c r="V71" s="119">
        <v>0</v>
      </c>
      <c r="W71" s="119">
        <v>1</v>
      </c>
      <c r="X71" s="120">
        <v>0</v>
      </c>
      <c r="Y71" s="120">
        <v>0</v>
      </c>
      <c r="Z71" s="120">
        <v>0</v>
      </c>
      <c r="AC71" s="119">
        <v>0</v>
      </c>
    </row>
    <row r="72" spans="1:29">
      <c r="A72" s="121" t="s">
        <v>272</v>
      </c>
      <c r="B72" s="121" t="s">
        <v>261</v>
      </c>
      <c r="C72" s="121" t="s">
        <v>234</v>
      </c>
      <c r="D72" s="121" t="s">
        <v>252</v>
      </c>
      <c r="E72" s="121" t="s">
        <v>261</v>
      </c>
      <c r="M72" s="121" t="s">
        <v>262</v>
      </c>
      <c r="N72" s="121" t="s">
        <v>430</v>
      </c>
      <c r="O72" s="118">
        <v>44845</v>
      </c>
      <c r="P72" s="118">
        <v>44862</v>
      </c>
      <c r="Q72" s="118">
        <v>44850</v>
      </c>
      <c r="R72" s="118">
        <v>44856</v>
      </c>
      <c r="S72" s="119">
        <v>43</v>
      </c>
      <c r="T72" s="119">
        <v>4</v>
      </c>
      <c r="U72" s="119">
        <v>1</v>
      </c>
      <c r="V72" s="119">
        <v>0</v>
      </c>
      <c r="W72" s="119">
        <v>1</v>
      </c>
      <c r="X72" s="120">
        <v>0</v>
      </c>
      <c r="Y72" s="120">
        <v>0</v>
      </c>
      <c r="Z72" s="120">
        <v>0</v>
      </c>
      <c r="AC72" s="119">
        <v>0</v>
      </c>
    </row>
    <row r="73" spans="1:29">
      <c r="A73" s="121" t="s">
        <v>272</v>
      </c>
      <c r="B73" s="121" t="s">
        <v>261</v>
      </c>
      <c r="C73" s="121" t="s">
        <v>234</v>
      </c>
      <c r="D73" s="121" t="s">
        <v>252</v>
      </c>
      <c r="E73" s="121" t="s">
        <v>261</v>
      </c>
      <c r="M73" s="121" t="s">
        <v>262</v>
      </c>
      <c r="N73" s="121" t="s">
        <v>213</v>
      </c>
      <c r="O73" s="118">
        <v>44845</v>
      </c>
      <c r="P73" s="118">
        <v>44862</v>
      </c>
      <c r="Q73" s="118">
        <v>44850</v>
      </c>
      <c r="R73" s="118">
        <v>44856</v>
      </c>
      <c r="S73" s="119">
        <v>43</v>
      </c>
      <c r="T73" s="119">
        <v>4</v>
      </c>
      <c r="U73" s="119">
        <v>1</v>
      </c>
      <c r="V73" s="119">
        <v>0</v>
      </c>
      <c r="W73" s="119">
        <v>1</v>
      </c>
      <c r="X73" s="120">
        <v>0</v>
      </c>
      <c r="Y73" s="120">
        <v>0</v>
      </c>
      <c r="Z73" s="120">
        <v>0</v>
      </c>
      <c r="AC73" s="119">
        <v>0</v>
      </c>
    </row>
    <row r="74" spans="1:29">
      <c r="A74" s="121" t="s">
        <v>272</v>
      </c>
      <c r="B74" s="121" t="s">
        <v>261</v>
      </c>
      <c r="C74" s="121" t="s">
        <v>234</v>
      </c>
      <c r="D74" s="121" t="s">
        <v>252</v>
      </c>
      <c r="E74" s="121" t="s">
        <v>261</v>
      </c>
      <c r="M74" s="121" t="s">
        <v>262</v>
      </c>
      <c r="N74" s="121" t="s">
        <v>434</v>
      </c>
      <c r="O74" s="118">
        <v>44845</v>
      </c>
      <c r="P74" s="118">
        <v>44862</v>
      </c>
      <c r="Q74" s="118">
        <v>44850</v>
      </c>
      <c r="R74" s="118">
        <v>44856</v>
      </c>
      <c r="S74" s="119">
        <v>43</v>
      </c>
      <c r="T74" s="119">
        <v>4</v>
      </c>
      <c r="U74" s="119">
        <v>1</v>
      </c>
      <c r="V74" s="119">
        <v>0</v>
      </c>
      <c r="W74" s="119">
        <v>1</v>
      </c>
      <c r="X74" s="120">
        <v>0</v>
      </c>
      <c r="Y74" s="120">
        <v>0</v>
      </c>
      <c r="Z74" s="120">
        <v>0</v>
      </c>
      <c r="AC74" s="119">
        <v>0</v>
      </c>
    </row>
    <row r="75" spans="1:29">
      <c r="A75" s="121" t="s">
        <v>272</v>
      </c>
      <c r="B75" s="121" t="s">
        <v>261</v>
      </c>
      <c r="C75" s="121" t="s">
        <v>234</v>
      </c>
      <c r="D75" s="121" t="s">
        <v>252</v>
      </c>
      <c r="E75" s="121" t="s">
        <v>261</v>
      </c>
      <c r="M75" s="121" t="s">
        <v>262</v>
      </c>
      <c r="N75" s="121" t="s">
        <v>433</v>
      </c>
      <c r="O75" s="118">
        <v>44845</v>
      </c>
      <c r="P75" s="118">
        <v>44862</v>
      </c>
      <c r="Q75" s="118">
        <v>44850</v>
      </c>
      <c r="R75" s="118">
        <v>44856</v>
      </c>
      <c r="S75" s="119">
        <v>43</v>
      </c>
      <c r="T75" s="119">
        <v>4</v>
      </c>
      <c r="U75" s="119">
        <v>1</v>
      </c>
      <c r="V75" s="119">
        <v>0</v>
      </c>
      <c r="W75" s="119">
        <v>1</v>
      </c>
      <c r="X75" s="120">
        <v>0</v>
      </c>
      <c r="Y75" s="120">
        <v>0</v>
      </c>
      <c r="Z75" s="120">
        <v>0</v>
      </c>
      <c r="AC75" s="119">
        <v>0</v>
      </c>
    </row>
    <row r="76" spans="1:29">
      <c r="A76" s="121" t="s">
        <v>272</v>
      </c>
      <c r="B76" s="121" t="s">
        <v>261</v>
      </c>
      <c r="C76" s="121" t="s">
        <v>234</v>
      </c>
      <c r="D76" s="121" t="s">
        <v>252</v>
      </c>
      <c r="E76" s="121" t="s">
        <v>261</v>
      </c>
      <c r="M76" s="121" t="s">
        <v>262</v>
      </c>
      <c r="N76" s="121" t="s">
        <v>432</v>
      </c>
      <c r="O76" s="118">
        <v>44845</v>
      </c>
      <c r="P76" s="118">
        <v>44862</v>
      </c>
      <c r="Q76" s="118">
        <v>44850</v>
      </c>
      <c r="R76" s="118">
        <v>44856</v>
      </c>
      <c r="S76" s="119">
        <v>43</v>
      </c>
      <c r="T76" s="119">
        <v>4</v>
      </c>
      <c r="U76" s="119">
        <v>1</v>
      </c>
      <c r="V76" s="119">
        <v>0</v>
      </c>
      <c r="W76" s="119">
        <v>1</v>
      </c>
      <c r="X76" s="120">
        <v>0</v>
      </c>
      <c r="Y76" s="120">
        <v>0</v>
      </c>
      <c r="Z76" s="120">
        <v>0</v>
      </c>
      <c r="AC76" s="119">
        <v>0</v>
      </c>
    </row>
    <row r="77" spans="1:29">
      <c r="A77" s="121" t="s">
        <v>272</v>
      </c>
      <c r="B77" s="121" t="s">
        <v>261</v>
      </c>
      <c r="C77" s="121" t="s">
        <v>234</v>
      </c>
      <c r="D77" s="121" t="s">
        <v>252</v>
      </c>
      <c r="E77" s="121" t="s">
        <v>261</v>
      </c>
      <c r="M77" s="121" t="s">
        <v>262</v>
      </c>
      <c r="N77" s="121" t="s">
        <v>430</v>
      </c>
      <c r="O77" s="118">
        <v>44845</v>
      </c>
      <c r="P77" s="118">
        <v>44862</v>
      </c>
      <c r="Q77" s="118">
        <v>44857</v>
      </c>
      <c r="R77" s="118">
        <v>44863</v>
      </c>
      <c r="S77" s="119">
        <v>44</v>
      </c>
      <c r="T77" s="119">
        <v>5</v>
      </c>
      <c r="U77" s="119">
        <v>1</v>
      </c>
      <c r="V77" s="119">
        <v>0</v>
      </c>
      <c r="W77" s="119">
        <v>1</v>
      </c>
      <c r="X77" s="120">
        <v>0</v>
      </c>
      <c r="Y77" s="120">
        <v>0</v>
      </c>
      <c r="Z77" s="120">
        <v>0</v>
      </c>
      <c r="AC77" s="119">
        <v>0</v>
      </c>
    </row>
    <row r="78" spans="1:29">
      <c r="A78" s="121" t="s">
        <v>272</v>
      </c>
      <c r="B78" s="121" t="s">
        <v>261</v>
      </c>
      <c r="C78" s="121" t="s">
        <v>234</v>
      </c>
      <c r="D78" s="121" t="s">
        <v>252</v>
      </c>
      <c r="E78" s="121" t="s">
        <v>261</v>
      </c>
      <c r="M78" s="121" t="s">
        <v>262</v>
      </c>
      <c r="N78" s="121" t="s">
        <v>213</v>
      </c>
      <c r="O78" s="118">
        <v>44845</v>
      </c>
      <c r="P78" s="118">
        <v>44862</v>
      </c>
      <c r="Q78" s="118">
        <v>44857</v>
      </c>
      <c r="R78" s="118">
        <v>44863</v>
      </c>
      <c r="S78" s="119">
        <v>44</v>
      </c>
      <c r="T78" s="119">
        <v>5</v>
      </c>
      <c r="U78" s="119">
        <v>1</v>
      </c>
      <c r="V78" s="119">
        <v>0</v>
      </c>
      <c r="W78" s="119">
        <v>1</v>
      </c>
      <c r="X78" s="120">
        <v>0</v>
      </c>
      <c r="Y78" s="120">
        <v>0</v>
      </c>
      <c r="Z78" s="120">
        <v>0</v>
      </c>
      <c r="AC78" s="119">
        <v>0</v>
      </c>
    </row>
    <row r="79" spans="1:29">
      <c r="A79" s="121" t="s">
        <v>272</v>
      </c>
      <c r="B79" s="121" t="s">
        <v>261</v>
      </c>
      <c r="C79" s="121" t="s">
        <v>234</v>
      </c>
      <c r="D79" s="121" t="s">
        <v>252</v>
      </c>
      <c r="E79" s="121" t="s">
        <v>261</v>
      </c>
      <c r="M79" s="121" t="s">
        <v>262</v>
      </c>
      <c r="N79" s="121" t="s">
        <v>434</v>
      </c>
      <c r="O79" s="118">
        <v>44845</v>
      </c>
      <c r="P79" s="118">
        <v>44862</v>
      </c>
      <c r="Q79" s="118">
        <v>44857</v>
      </c>
      <c r="R79" s="118">
        <v>44863</v>
      </c>
      <c r="S79" s="119">
        <v>44</v>
      </c>
      <c r="T79" s="119">
        <v>5</v>
      </c>
      <c r="U79" s="119">
        <v>1</v>
      </c>
      <c r="V79" s="119">
        <v>0</v>
      </c>
      <c r="W79" s="119">
        <v>1</v>
      </c>
      <c r="X79" s="120">
        <v>0</v>
      </c>
      <c r="Y79" s="120">
        <v>0</v>
      </c>
      <c r="Z79" s="120">
        <v>0</v>
      </c>
      <c r="AC79" s="119">
        <v>0</v>
      </c>
    </row>
    <row r="80" spans="1:29">
      <c r="A80" s="121" t="s">
        <v>272</v>
      </c>
      <c r="B80" s="121" t="s">
        <v>261</v>
      </c>
      <c r="C80" s="121" t="s">
        <v>234</v>
      </c>
      <c r="D80" s="121" t="s">
        <v>252</v>
      </c>
      <c r="E80" s="121" t="s">
        <v>261</v>
      </c>
      <c r="M80" s="121" t="s">
        <v>262</v>
      </c>
      <c r="N80" s="121" t="s">
        <v>433</v>
      </c>
      <c r="O80" s="118">
        <v>44845</v>
      </c>
      <c r="P80" s="118">
        <v>44862</v>
      </c>
      <c r="Q80" s="118">
        <v>44857</v>
      </c>
      <c r="R80" s="118">
        <v>44863</v>
      </c>
      <c r="S80" s="119">
        <v>44</v>
      </c>
      <c r="T80" s="119">
        <v>5</v>
      </c>
      <c r="U80" s="119">
        <v>1</v>
      </c>
      <c r="V80" s="119">
        <v>0</v>
      </c>
      <c r="W80" s="119">
        <v>1</v>
      </c>
      <c r="X80" s="120">
        <v>0</v>
      </c>
      <c r="Y80" s="120">
        <v>0</v>
      </c>
      <c r="Z80" s="120">
        <v>0</v>
      </c>
      <c r="AC80" s="119">
        <v>0</v>
      </c>
    </row>
    <row r="81" spans="1:29">
      <c r="A81" s="121" t="s">
        <v>272</v>
      </c>
      <c r="B81" s="121" t="s">
        <v>261</v>
      </c>
      <c r="C81" s="121" t="s">
        <v>234</v>
      </c>
      <c r="D81" s="121" t="s">
        <v>252</v>
      </c>
      <c r="E81" s="121" t="s">
        <v>261</v>
      </c>
      <c r="M81" s="121" t="s">
        <v>262</v>
      </c>
      <c r="N81" s="121" t="s">
        <v>432</v>
      </c>
      <c r="O81" s="118">
        <v>44845</v>
      </c>
      <c r="P81" s="118">
        <v>44862</v>
      </c>
      <c r="Q81" s="118">
        <v>44857</v>
      </c>
      <c r="R81" s="118">
        <v>44863</v>
      </c>
      <c r="S81" s="119">
        <v>44</v>
      </c>
      <c r="T81" s="119">
        <v>5</v>
      </c>
      <c r="U81" s="119">
        <v>1</v>
      </c>
      <c r="V81" s="119">
        <v>0</v>
      </c>
      <c r="W81" s="119">
        <v>1</v>
      </c>
      <c r="X81" s="120">
        <v>0</v>
      </c>
      <c r="Y81" s="120">
        <v>0</v>
      </c>
      <c r="Z81" s="120">
        <v>0</v>
      </c>
      <c r="AC81" s="119">
        <v>0</v>
      </c>
    </row>
    <row r="82" spans="1:29">
      <c r="A82" s="121" t="s">
        <v>272</v>
      </c>
      <c r="B82" s="121" t="s">
        <v>267</v>
      </c>
      <c r="C82" s="121" t="s">
        <v>234</v>
      </c>
      <c r="D82" s="121" t="s">
        <v>264</v>
      </c>
      <c r="E82" s="121" t="s">
        <v>267</v>
      </c>
      <c r="M82" s="121" t="s">
        <v>265</v>
      </c>
      <c r="N82" s="121" t="s">
        <v>430</v>
      </c>
      <c r="O82" s="118">
        <v>44858</v>
      </c>
      <c r="P82" s="118">
        <v>44869</v>
      </c>
      <c r="Q82" s="118">
        <v>44857</v>
      </c>
      <c r="R82" s="118">
        <v>44863</v>
      </c>
      <c r="S82" s="119">
        <v>44</v>
      </c>
      <c r="T82" s="119">
        <v>5</v>
      </c>
      <c r="U82" s="119">
        <v>1.25</v>
      </c>
      <c r="V82" s="119">
        <v>0</v>
      </c>
      <c r="W82" s="119">
        <v>1</v>
      </c>
      <c r="X82" s="120">
        <v>0</v>
      </c>
      <c r="Y82" s="120">
        <v>0</v>
      </c>
      <c r="Z82" s="120">
        <v>0</v>
      </c>
      <c r="AC82" s="119">
        <v>0</v>
      </c>
    </row>
    <row r="83" spans="1:29">
      <c r="A83" s="121" t="s">
        <v>272</v>
      </c>
      <c r="B83" s="121" t="s">
        <v>267</v>
      </c>
      <c r="C83" s="121" t="s">
        <v>234</v>
      </c>
      <c r="D83" s="121" t="s">
        <v>264</v>
      </c>
      <c r="E83" s="121" t="s">
        <v>267</v>
      </c>
      <c r="M83" s="121" t="s">
        <v>265</v>
      </c>
      <c r="N83" s="121" t="s">
        <v>434</v>
      </c>
      <c r="O83" s="118">
        <v>44858</v>
      </c>
      <c r="P83" s="118">
        <v>44869</v>
      </c>
      <c r="Q83" s="118">
        <v>44857</v>
      </c>
      <c r="R83" s="118">
        <v>44863</v>
      </c>
      <c r="S83" s="119">
        <v>44</v>
      </c>
      <c r="T83" s="119">
        <v>5</v>
      </c>
      <c r="U83" s="119">
        <v>1.25</v>
      </c>
      <c r="V83" s="119">
        <v>0</v>
      </c>
      <c r="W83" s="119">
        <v>1</v>
      </c>
      <c r="X83" s="120">
        <v>0</v>
      </c>
      <c r="Y83" s="120">
        <v>0</v>
      </c>
      <c r="Z83" s="120">
        <v>0</v>
      </c>
      <c r="AC83" s="119">
        <v>0</v>
      </c>
    </row>
    <row r="84" spans="1:29">
      <c r="A84" s="121" t="s">
        <v>272</v>
      </c>
      <c r="B84" s="121" t="s">
        <v>267</v>
      </c>
      <c r="C84" s="121" t="s">
        <v>234</v>
      </c>
      <c r="D84" s="121" t="s">
        <v>264</v>
      </c>
      <c r="E84" s="121" t="s">
        <v>267</v>
      </c>
      <c r="M84" s="121" t="s">
        <v>265</v>
      </c>
      <c r="N84" s="121" t="s">
        <v>433</v>
      </c>
      <c r="O84" s="118">
        <v>44858</v>
      </c>
      <c r="P84" s="118">
        <v>44869</v>
      </c>
      <c r="Q84" s="118">
        <v>44857</v>
      </c>
      <c r="R84" s="118">
        <v>44863</v>
      </c>
      <c r="S84" s="119">
        <v>44</v>
      </c>
      <c r="T84" s="119">
        <v>5</v>
      </c>
      <c r="U84" s="119">
        <v>1.25</v>
      </c>
      <c r="V84" s="119">
        <v>0</v>
      </c>
      <c r="W84" s="119">
        <v>1</v>
      </c>
      <c r="X84" s="120">
        <v>0</v>
      </c>
      <c r="Y84" s="120">
        <v>0</v>
      </c>
      <c r="Z84" s="120">
        <v>0</v>
      </c>
      <c r="AC84" s="119">
        <v>0</v>
      </c>
    </row>
    <row r="85" spans="1:29">
      <c r="A85" s="121" t="s">
        <v>272</v>
      </c>
      <c r="B85" s="121" t="s">
        <v>267</v>
      </c>
      <c r="C85" s="121" t="s">
        <v>234</v>
      </c>
      <c r="D85" s="121" t="s">
        <v>264</v>
      </c>
      <c r="E85" s="121" t="s">
        <v>267</v>
      </c>
      <c r="M85" s="121" t="s">
        <v>265</v>
      </c>
      <c r="N85" s="121" t="s">
        <v>432</v>
      </c>
      <c r="O85" s="118">
        <v>44858</v>
      </c>
      <c r="P85" s="118">
        <v>44869</v>
      </c>
      <c r="Q85" s="118">
        <v>44857</v>
      </c>
      <c r="R85" s="118">
        <v>44863</v>
      </c>
      <c r="S85" s="119">
        <v>44</v>
      </c>
      <c r="T85" s="119">
        <v>5</v>
      </c>
      <c r="U85" s="119">
        <v>1.25</v>
      </c>
      <c r="V85" s="119">
        <v>0</v>
      </c>
      <c r="W85" s="119">
        <v>1</v>
      </c>
      <c r="X85" s="120">
        <v>0</v>
      </c>
      <c r="Y85" s="120">
        <v>0</v>
      </c>
      <c r="Z85" s="120">
        <v>0</v>
      </c>
      <c r="AC85" s="119">
        <v>0</v>
      </c>
    </row>
    <row r="86" spans="1:29">
      <c r="A86" s="121" t="s">
        <v>272</v>
      </c>
      <c r="B86" s="121" t="s">
        <v>267</v>
      </c>
      <c r="C86" s="121" t="s">
        <v>234</v>
      </c>
      <c r="D86" s="121" t="s">
        <v>264</v>
      </c>
      <c r="E86" s="121" t="s">
        <v>267</v>
      </c>
      <c r="M86" s="121" t="s">
        <v>265</v>
      </c>
      <c r="N86" s="121" t="s">
        <v>430</v>
      </c>
      <c r="O86" s="118">
        <v>44858</v>
      </c>
      <c r="P86" s="118">
        <v>44869</v>
      </c>
      <c r="Q86" s="118">
        <v>44864</v>
      </c>
      <c r="R86" s="118">
        <v>44870</v>
      </c>
      <c r="S86" s="119">
        <v>45</v>
      </c>
      <c r="T86" s="119">
        <v>6</v>
      </c>
      <c r="U86" s="119">
        <v>1.25</v>
      </c>
      <c r="V86" s="119">
        <v>0</v>
      </c>
      <c r="W86" s="119">
        <v>1</v>
      </c>
      <c r="X86" s="120">
        <v>0</v>
      </c>
      <c r="Y86" s="120">
        <v>0</v>
      </c>
      <c r="Z86" s="120">
        <v>0</v>
      </c>
      <c r="AC86" s="119">
        <v>0</v>
      </c>
    </row>
    <row r="87" spans="1:29">
      <c r="A87" s="121" t="s">
        <v>272</v>
      </c>
      <c r="B87" s="121" t="s">
        <v>267</v>
      </c>
      <c r="C87" s="121" t="s">
        <v>234</v>
      </c>
      <c r="D87" s="121" t="s">
        <v>264</v>
      </c>
      <c r="E87" s="121" t="s">
        <v>267</v>
      </c>
      <c r="M87" s="121" t="s">
        <v>265</v>
      </c>
      <c r="N87" s="121" t="s">
        <v>434</v>
      </c>
      <c r="O87" s="118">
        <v>44858</v>
      </c>
      <c r="P87" s="118">
        <v>44869</v>
      </c>
      <c r="Q87" s="118">
        <v>44864</v>
      </c>
      <c r="R87" s="118">
        <v>44870</v>
      </c>
      <c r="S87" s="119">
        <v>45</v>
      </c>
      <c r="T87" s="119">
        <v>6</v>
      </c>
      <c r="U87" s="119">
        <v>1.25</v>
      </c>
      <c r="V87" s="119">
        <v>0</v>
      </c>
      <c r="W87" s="119">
        <v>1</v>
      </c>
      <c r="X87" s="120">
        <v>0</v>
      </c>
      <c r="Y87" s="120">
        <v>0</v>
      </c>
      <c r="Z87" s="120">
        <v>0</v>
      </c>
      <c r="AC87" s="119">
        <v>0</v>
      </c>
    </row>
    <row r="88" spans="1:29">
      <c r="A88" s="121" t="s">
        <v>272</v>
      </c>
      <c r="B88" s="121" t="s">
        <v>267</v>
      </c>
      <c r="C88" s="121" t="s">
        <v>234</v>
      </c>
      <c r="D88" s="121" t="s">
        <v>264</v>
      </c>
      <c r="E88" s="121" t="s">
        <v>267</v>
      </c>
      <c r="M88" s="121" t="s">
        <v>265</v>
      </c>
      <c r="N88" s="121" t="s">
        <v>433</v>
      </c>
      <c r="O88" s="118">
        <v>44858</v>
      </c>
      <c r="P88" s="118">
        <v>44869</v>
      </c>
      <c r="Q88" s="118">
        <v>44864</v>
      </c>
      <c r="R88" s="118">
        <v>44870</v>
      </c>
      <c r="S88" s="119">
        <v>45</v>
      </c>
      <c r="T88" s="119">
        <v>6</v>
      </c>
      <c r="U88" s="119">
        <v>1.25</v>
      </c>
      <c r="V88" s="119">
        <v>0</v>
      </c>
      <c r="W88" s="119">
        <v>1</v>
      </c>
      <c r="X88" s="120">
        <v>0</v>
      </c>
      <c r="Y88" s="120">
        <v>0</v>
      </c>
      <c r="Z88" s="120">
        <v>0</v>
      </c>
      <c r="AC88" s="119">
        <v>0</v>
      </c>
    </row>
    <row r="89" spans="1:29">
      <c r="A89" s="121" t="s">
        <v>272</v>
      </c>
      <c r="B89" s="121" t="s">
        <v>267</v>
      </c>
      <c r="C89" s="121" t="s">
        <v>234</v>
      </c>
      <c r="D89" s="121" t="s">
        <v>264</v>
      </c>
      <c r="E89" s="121" t="s">
        <v>267</v>
      </c>
      <c r="M89" s="121" t="s">
        <v>265</v>
      </c>
      <c r="N89" s="121" t="s">
        <v>432</v>
      </c>
      <c r="O89" s="118">
        <v>44858</v>
      </c>
      <c r="P89" s="118">
        <v>44869</v>
      </c>
      <c r="Q89" s="118">
        <v>44864</v>
      </c>
      <c r="R89" s="118">
        <v>44870</v>
      </c>
      <c r="S89" s="119">
        <v>45</v>
      </c>
      <c r="T89" s="119">
        <v>6</v>
      </c>
      <c r="U89" s="119">
        <v>1.25</v>
      </c>
      <c r="V89" s="119">
        <v>0</v>
      </c>
      <c r="W89" s="119">
        <v>1</v>
      </c>
      <c r="X89" s="120">
        <v>0</v>
      </c>
      <c r="Y89" s="120">
        <v>0</v>
      </c>
      <c r="Z89" s="120">
        <v>0</v>
      </c>
      <c r="AC89" s="119">
        <v>0</v>
      </c>
    </row>
    <row r="90" spans="1:29">
      <c r="A90" s="121" t="s">
        <v>272</v>
      </c>
      <c r="B90" s="121" t="s">
        <v>269</v>
      </c>
      <c r="C90" s="121" t="s">
        <v>234</v>
      </c>
      <c r="D90" s="121" t="s">
        <v>264</v>
      </c>
      <c r="E90" s="121" t="s">
        <v>269</v>
      </c>
      <c r="M90" s="121" t="s">
        <v>270</v>
      </c>
      <c r="N90" s="121" t="s">
        <v>247</v>
      </c>
      <c r="O90" s="118">
        <v>44872</v>
      </c>
      <c r="P90" s="118">
        <v>44876</v>
      </c>
      <c r="Q90" s="118">
        <v>44871</v>
      </c>
      <c r="R90" s="118">
        <v>44877</v>
      </c>
      <c r="S90" s="119">
        <v>46</v>
      </c>
      <c r="T90" s="119">
        <v>7</v>
      </c>
      <c r="U90" s="119">
        <v>1.6666666666666667</v>
      </c>
      <c r="V90" s="119">
        <v>0</v>
      </c>
      <c r="W90" s="119">
        <v>1</v>
      </c>
      <c r="X90" s="120">
        <v>0</v>
      </c>
      <c r="Y90" s="120">
        <v>0</v>
      </c>
      <c r="Z90" s="120">
        <v>0</v>
      </c>
      <c r="AC90" s="119">
        <v>0</v>
      </c>
    </row>
    <row r="91" spans="1:29">
      <c r="A91" s="121" t="s">
        <v>272</v>
      </c>
      <c r="B91" s="121" t="s">
        <v>269</v>
      </c>
      <c r="C91" s="121" t="s">
        <v>234</v>
      </c>
      <c r="D91" s="121" t="s">
        <v>264</v>
      </c>
      <c r="E91" s="121" t="s">
        <v>269</v>
      </c>
      <c r="M91" s="121" t="s">
        <v>270</v>
      </c>
      <c r="N91" s="121" t="s">
        <v>434</v>
      </c>
      <c r="O91" s="118">
        <v>44872</v>
      </c>
      <c r="P91" s="118">
        <v>44876</v>
      </c>
      <c r="Q91" s="118">
        <v>44871</v>
      </c>
      <c r="R91" s="118">
        <v>44877</v>
      </c>
      <c r="S91" s="119">
        <v>46</v>
      </c>
      <c r="T91" s="119">
        <v>7</v>
      </c>
      <c r="U91" s="119">
        <v>1.6666666666666667</v>
      </c>
      <c r="V91" s="119">
        <v>0</v>
      </c>
      <c r="W91" s="119">
        <v>1</v>
      </c>
      <c r="X91" s="120">
        <v>0</v>
      </c>
      <c r="Y91" s="120">
        <v>0</v>
      </c>
      <c r="Z91" s="120">
        <v>0</v>
      </c>
      <c r="AC91" s="119">
        <v>0</v>
      </c>
    </row>
    <row r="92" spans="1:29">
      <c r="A92" s="121" t="s">
        <v>272</v>
      </c>
      <c r="B92" s="121" t="s">
        <v>269</v>
      </c>
      <c r="C92" s="121" t="s">
        <v>234</v>
      </c>
      <c r="D92" s="121" t="s">
        <v>264</v>
      </c>
      <c r="E92" s="121" t="s">
        <v>269</v>
      </c>
      <c r="M92" s="121" t="s">
        <v>270</v>
      </c>
      <c r="N92" s="121" t="s">
        <v>433</v>
      </c>
      <c r="O92" s="118">
        <v>44872</v>
      </c>
      <c r="P92" s="118">
        <v>44876</v>
      </c>
      <c r="Q92" s="118">
        <v>44871</v>
      </c>
      <c r="R92" s="118">
        <v>44877</v>
      </c>
      <c r="S92" s="119">
        <v>46</v>
      </c>
      <c r="T92" s="119">
        <v>7</v>
      </c>
      <c r="U92" s="119">
        <v>1.6666666666666667</v>
      </c>
      <c r="V92" s="119">
        <v>0</v>
      </c>
      <c r="W92" s="119">
        <v>1</v>
      </c>
      <c r="X92" s="120">
        <v>0</v>
      </c>
      <c r="Y92" s="120">
        <v>0</v>
      </c>
      <c r="Z92" s="120">
        <v>0</v>
      </c>
      <c r="AC92" s="119">
        <v>0</v>
      </c>
    </row>
    <row r="93" spans="1:29">
      <c r="A93" s="121" t="s">
        <v>272</v>
      </c>
      <c r="B93" s="121" t="s">
        <v>278</v>
      </c>
      <c r="C93" s="121" t="s">
        <v>272</v>
      </c>
      <c r="D93" s="121" t="s">
        <v>275</v>
      </c>
      <c r="E93" s="121" t="s">
        <v>278</v>
      </c>
      <c r="M93" s="121" t="s">
        <v>279</v>
      </c>
      <c r="N93" s="121" t="s">
        <v>247</v>
      </c>
      <c r="O93" s="118">
        <v>44851</v>
      </c>
      <c r="P93" s="118">
        <v>44851</v>
      </c>
      <c r="Q93" s="118">
        <v>44850</v>
      </c>
      <c r="R93" s="118">
        <v>44856</v>
      </c>
      <c r="S93" s="119">
        <v>43</v>
      </c>
      <c r="T93" s="119">
        <v>4</v>
      </c>
      <c r="U93" s="119">
        <v>1</v>
      </c>
      <c r="V93" s="119">
        <v>0</v>
      </c>
      <c r="W93" s="119">
        <v>1</v>
      </c>
      <c r="X93" s="120">
        <v>0</v>
      </c>
      <c r="Y93" s="120">
        <v>0</v>
      </c>
      <c r="Z93" s="120">
        <v>0</v>
      </c>
      <c r="AC93" s="119">
        <v>0</v>
      </c>
    </row>
    <row r="94" spans="1:29">
      <c r="A94" s="121" t="s">
        <v>272</v>
      </c>
      <c r="B94" s="121" t="s">
        <v>281</v>
      </c>
      <c r="C94" s="121" t="s">
        <v>272</v>
      </c>
      <c r="D94" s="121" t="s">
        <v>275</v>
      </c>
      <c r="E94" s="121" t="s">
        <v>281</v>
      </c>
      <c r="M94" s="121" t="s">
        <v>282</v>
      </c>
      <c r="N94" s="121" t="s">
        <v>283</v>
      </c>
      <c r="O94" s="118">
        <v>44851</v>
      </c>
      <c r="P94" s="118">
        <v>44862</v>
      </c>
      <c r="Q94" s="118">
        <v>44850</v>
      </c>
      <c r="R94" s="118">
        <v>44856</v>
      </c>
      <c r="S94" s="119">
        <v>43</v>
      </c>
      <c r="T94" s="119">
        <v>4</v>
      </c>
      <c r="U94" s="119">
        <v>5</v>
      </c>
      <c r="V94" s="119">
        <v>0</v>
      </c>
      <c r="W94" s="119">
        <v>1</v>
      </c>
      <c r="X94" s="120">
        <v>0</v>
      </c>
      <c r="Y94" s="120">
        <v>0</v>
      </c>
      <c r="Z94" s="120">
        <v>0</v>
      </c>
      <c r="AC94" s="119">
        <v>0</v>
      </c>
    </row>
    <row r="95" spans="1:29">
      <c r="A95" s="121" t="s">
        <v>272</v>
      </c>
      <c r="B95" s="121" t="s">
        <v>281</v>
      </c>
      <c r="C95" s="121" t="s">
        <v>272</v>
      </c>
      <c r="D95" s="121" t="s">
        <v>275</v>
      </c>
      <c r="E95" s="121" t="s">
        <v>281</v>
      </c>
      <c r="M95" s="121" t="s">
        <v>282</v>
      </c>
      <c r="N95" s="121" t="s">
        <v>283</v>
      </c>
      <c r="O95" s="118">
        <v>44851</v>
      </c>
      <c r="P95" s="118">
        <v>44862</v>
      </c>
      <c r="Q95" s="118">
        <v>44857</v>
      </c>
      <c r="R95" s="118">
        <v>44863</v>
      </c>
      <c r="S95" s="119">
        <v>44</v>
      </c>
      <c r="T95" s="119">
        <v>5</v>
      </c>
      <c r="U95" s="119">
        <v>5</v>
      </c>
      <c r="V95" s="119">
        <v>0</v>
      </c>
      <c r="W95" s="119">
        <v>1</v>
      </c>
      <c r="X95" s="120">
        <v>0</v>
      </c>
      <c r="Y95" s="120">
        <v>0</v>
      </c>
      <c r="Z95" s="120">
        <v>0</v>
      </c>
      <c r="AC95" s="119">
        <v>0</v>
      </c>
    </row>
    <row r="96" spans="1:29">
      <c r="A96" s="121" t="s">
        <v>272</v>
      </c>
      <c r="B96" s="121" t="s">
        <v>285</v>
      </c>
      <c r="C96" s="121" t="s">
        <v>272</v>
      </c>
      <c r="D96" s="121" t="s">
        <v>275</v>
      </c>
      <c r="E96" s="121" t="s">
        <v>285</v>
      </c>
      <c r="M96" s="121" t="s">
        <v>286</v>
      </c>
      <c r="N96" s="121" t="s">
        <v>247</v>
      </c>
      <c r="O96" s="118">
        <v>44865</v>
      </c>
      <c r="P96" s="118">
        <v>44876</v>
      </c>
      <c r="Q96" s="118">
        <v>44864</v>
      </c>
      <c r="R96" s="118">
        <v>44870</v>
      </c>
      <c r="S96" s="119">
        <v>45</v>
      </c>
      <c r="T96" s="119">
        <v>6</v>
      </c>
      <c r="U96" s="119">
        <v>5</v>
      </c>
      <c r="V96" s="119">
        <v>0</v>
      </c>
      <c r="W96" s="119">
        <v>1</v>
      </c>
      <c r="X96" s="120">
        <v>0</v>
      </c>
      <c r="Y96" s="120">
        <v>0</v>
      </c>
      <c r="Z96" s="120">
        <v>0</v>
      </c>
      <c r="AC96" s="119">
        <v>0</v>
      </c>
    </row>
    <row r="97" spans="1:29">
      <c r="A97" s="121" t="s">
        <v>272</v>
      </c>
      <c r="B97" s="121" t="s">
        <v>285</v>
      </c>
      <c r="C97" s="121" t="s">
        <v>272</v>
      </c>
      <c r="D97" s="121" t="s">
        <v>275</v>
      </c>
      <c r="E97" s="121" t="s">
        <v>285</v>
      </c>
      <c r="M97" s="121" t="s">
        <v>286</v>
      </c>
      <c r="N97" s="121" t="s">
        <v>247</v>
      </c>
      <c r="O97" s="118">
        <v>44865</v>
      </c>
      <c r="P97" s="118">
        <v>44876</v>
      </c>
      <c r="Q97" s="118">
        <v>44871</v>
      </c>
      <c r="R97" s="118">
        <v>44877</v>
      </c>
      <c r="S97" s="119">
        <v>46</v>
      </c>
      <c r="T97" s="119">
        <v>7</v>
      </c>
      <c r="U97" s="119">
        <v>5</v>
      </c>
      <c r="V97" s="119">
        <v>0</v>
      </c>
      <c r="W97" s="119">
        <v>1</v>
      </c>
      <c r="X97" s="120">
        <v>0</v>
      </c>
      <c r="Y97" s="120">
        <v>0</v>
      </c>
      <c r="Z97" s="120">
        <v>0</v>
      </c>
      <c r="AC97" s="119">
        <v>0</v>
      </c>
    </row>
    <row r="98" spans="1:29">
      <c r="A98" s="121" t="s">
        <v>272</v>
      </c>
      <c r="B98" s="121" t="s">
        <v>288</v>
      </c>
      <c r="C98" s="121" t="s">
        <v>272</v>
      </c>
      <c r="D98" s="121" t="s">
        <v>275</v>
      </c>
      <c r="E98" s="121" t="s">
        <v>288</v>
      </c>
      <c r="M98" s="121" t="s">
        <v>289</v>
      </c>
      <c r="N98" s="121" t="s">
        <v>283</v>
      </c>
      <c r="O98" s="118">
        <v>44879</v>
      </c>
      <c r="P98" s="118">
        <v>44883</v>
      </c>
      <c r="Q98" s="118">
        <v>44878</v>
      </c>
      <c r="R98" s="118">
        <v>44884</v>
      </c>
      <c r="S98" s="119">
        <v>47</v>
      </c>
      <c r="T98" s="119">
        <v>8</v>
      </c>
      <c r="U98" s="119">
        <v>5</v>
      </c>
      <c r="V98" s="119">
        <v>0</v>
      </c>
      <c r="W98" s="119">
        <v>1</v>
      </c>
      <c r="X98" s="120">
        <v>0</v>
      </c>
      <c r="Y98" s="120">
        <v>0</v>
      </c>
      <c r="Z98" s="120">
        <v>0</v>
      </c>
      <c r="AC98" s="119">
        <v>0</v>
      </c>
    </row>
    <row r="99" spans="1:29">
      <c r="A99" s="121" t="s">
        <v>349</v>
      </c>
      <c r="B99" s="121" t="s">
        <v>294</v>
      </c>
      <c r="C99" s="121" t="s">
        <v>272</v>
      </c>
      <c r="D99" s="121" t="s">
        <v>291</v>
      </c>
      <c r="E99" s="121" t="s">
        <v>293</v>
      </c>
      <c r="F99" s="121" t="s">
        <v>294</v>
      </c>
      <c r="M99" s="121" t="s">
        <v>295</v>
      </c>
      <c r="N99" s="121" t="s">
        <v>434</v>
      </c>
      <c r="O99" s="118">
        <v>44879</v>
      </c>
      <c r="P99" s="118">
        <v>44918</v>
      </c>
      <c r="Q99" s="118">
        <v>44878</v>
      </c>
      <c r="R99" s="118">
        <v>44884</v>
      </c>
      <c r="S99" s="119">
        <v>47</v>
      </c>
      <c r="T99" s="119">
        <v>8</v>
      </c>
      <c r="U99" s="119">
        <v>2.5</v>
      </c>
      <c r="V99" s="119">
        <v>0</v>
      </c>
      <c r="W99" s="119">
        <v>1</v>
      </c>
      <c r="X99" s="120">
        <v>0</v>
      </c>
      <c r="Y99" s="120">
        <v>0</v>
      </c>
      <c r="Z99" s="120">
        <v>0</v>
      </c>
      <c r="AC99" s="119">
        <v>0</v>
      </c>
    </row>
    <row r="100" spans="1:29">
      <c r="A100" s="121" t="s">
        <v>349</v>
      </c>
      <c r="B100" s="121" t="s">
        <v>294</v>
      </c>
      <c r="C100" s="121" t="s">
        <v>272</v>
      </c>
      <c r="D100" s="121" t="s">
        <v>291</v>
      </c>
      <c r="E100" s="121" t="s">
        <v>293</v>
      </c>
      <c r="F100" s="121" t="s">
        <v>294</v>
      </c>
      <c r="M100" s="121" t="s">
        <v>295</v>
      </c>
      <c r="N100" s="121" t="s">
        <v>433</v>
      </c>
      <c r="O100" s="118">
        <v>44879</v>
      </c>
      <c r="P100" s="118">
        <v>44918</v>
      </c>
      <c r="Q100" s="118">
        <v>44878</v>
      </c>
      <c r="R100" s="118">
        <v>44884</v>
      </c>
      <c r="S100" s="119">
        <v>47</v>
      </c>
      <c r="T100" s="119">
        <v>8</v>
      </c>
      <c r="U100" s="119">
        <v>2.5</v>
      </c>
      <c r="V100" s="119">
        <v>0</v>
      </c>
      <c r="W100" s="119">
        <v>1</v>
      </c>
      <c r="X100" s="120">
        <v>0</v>
      </c>
      <c r="Y100" s="120">
        <v>0</v>
      </c>
      <c r="Z100" s="120">
        <v>0</v>
      </c>
      <c r="AC100" s="119">
        <v>0</v>
      </c>
    </row>
    <row r="101" spans="1:29">
      <c r="A101" s="121" t="s">
        <v>349</v>
      </c>
      <c r="B101" s="121" t="s">
        <v>294</v>
      </c>
      <c r="C101" s="121" t="s">
        <v>272</v>
      </c>
      <c r="D101" s="121" t="s">
        <v>291</v>
      </c>
      <c r="E101" s="121" t="s">
        <v>293</v>
      </c>
      <c r="F101" s="121" t="s">
        <v>294</v>
      </c>
      <c r="M101" s="121" t="s">
        <v>295</v>
      </c>
      <c r="N101" s="121" t="s">
        <v>434</v>
      </c>
      <c r="O101" s="118">
        <v>44879</v>
      </c>
      <c r="P101" s="118">
        <v>44918</v>
      </c>
      <c r="Q101" s="118">
        <v>44885</v>
      </c>
      <c r="R101" s="118">
        <v>44891</v>
      </c>
      <c r="S101" s="119">
        <v>48</v>
      </c>
      <c r="T101" s="119">
        <v>9</v>
      </c>
      <c r="U101" s="119">
        <v>2.5</v>
      </c>
      <c r="V101" s="119">
        <v>0</v>
      </c>
      <c r="W101" s="119">
        <v>1</v>
      </c>
      <c r="X101" s="120">
        <v>0</v>
      </c>
      <c r="Y101" s="120">
        <v>0</v>
      </c>
      <c r="Z101" s="120">
        <v>0</v>
      </c>
      <c r="AC101" s="119">
        <v>0</v>
      </c>
    </row>
    <row r="102" spans="1:29">
      <c r="A102" s="121" t="s">
        <v>349</v>
      </c>
      <c r="B102" s="121" t="s">
        <v>294</v>
      </c>
      <c r="C102" s="121" t="s">
        <v>272</v>
      </c>
      <c r="D102" s="121" t="s">
        <v>291</v>
      </c>
      <c r="E102" s="121" t="s">
        <v>293</v>
      </c>
      <c r="F102" s="121" t="s">
        <v>294</v>
      </c>
      <c r="M102" s="121" t="s">
        <v>295</v>
      </c>
      <c r="N102" s="121" t="s">
        <v>433</v>
      </c>
      <c r="O102" s="118">
        <v>44879</v>
      </c>
      <c r="P102" s="118">
        <v>44918</v>
      </c>
      <c r="Q102" s="118">
        <v>44885</v>
      </c>
      <c r="R102" s="118">
        <v>44891</v>
      </c>
      <c r="S102" s="119">
        <v>48</v>
      </c>
      <c r="T102" s="119">
        <v>9</v>
      </c>
      <c r="U102" s="119">
        <v>2.5</v>
      </c>
      <c r="V102" s="119">
        <v>0</v>
      </c>
      <c r="W102" s="119">
        <v>1</v>
      </c>
      <c r="X102" s="120">
        <v>0</v>
      </c>
      <c r="Y102" s="120">
        <v>0</v>
      </c>
      <c r="Z102" s="120">
        <v>0</v>
      </c>
      <c r="AC102" s="119">
        <v>0</v>
      </c>
    </row>
    <row r="103" spans="1:29">
      <c r="A103" s="121" t="s">
        <v>349</v>
      </c>
      <c r="B103" s="121" t="s">
        <v>294</v>
      </c>
      <c r="C103" s="121" t="s">
        <v>272</v>
      </c>
      <c r="D103" s="121" t="s">
        <v>291</v>
      </c>
      <c r="E103" s="121" t="s">
        <v>293</v>
      </c>
      <c r="F103" s="121" t="s">
        <v>294</v>
      </c>
      <c r="M103" s="121" t="s">
        <v>295</v>
      </c>
      <c r="N103" s="121" t="s">
        <v>434</v>
      </c>
      <c r="O103" s="118">
        <v>44879</v>
      </c>
      <c r="P103" s="118">
        <v>44918</v>
      </c>
      <c r="Q103" s="118">
        <v>44892</v>
      </c>
      <c r="R103" s="118">
        <v>44898</v>
      </c>
      <c r="S103" s="119">
        <v>49</v>
      </c>
      <c r="T103" s="119">
        <v>10</v>
      </c>
      <c r="U103" s="119">
        <v>2.5</v>
      </c>
      <c r="V103" s="119">
        <v>0</v>
      </c>
      <c r="W103" s="119">
        <v>1</v>
      </c>
      <c r="X103" s="120">
        <v>0</v>
      </c>
      <c r="Y103" s="120">
        <v>0</v>
      </c>
      <c r="Z103" s="120">
        <v>0</v>
      </c>
      <c r="AC103" s="119">
        <v>0</v>
      </c>
    </row>
    <row r="104" spans="1:29">
      <c r="A104" s="121" t="s">
        <v>349</v>
      </c>
      <c r="B104" s="121" t="s">
        <v>294</v>
      </c>
      <c r="C104" s="121" t="s">
        <v>272</v>
      </c>
      <c r="D104" s="121" t="s">
        <v>291</v>
      </c>
      <c r="E104" s="121" t="s">
        <v>293</v>
      </c>
      <c r="F104" s="121" t="s">
        <v>294</v>
      </c>
      <c r="M104" s="121" t="s">
        <v>295</v>
      </c>
      <c r="N104" s="121" t="s">
        <v>433</v>
      </c>
      <c r="O104" s="118">
        <v>44879</v>
      </c>
      <c r="P104" s="118">
        <v>44918</v>
      </c>
      <c r="Q104" s="118">
        <v>44892</v>
      </c>
      <c r="R104" s="118">
        <v>44898</v>
      </c>
      <c r="S104" s="119">
        <v>49</v>
      </c>
      <c r="T104" s="119">
        <v>10</v>
      </c>
      <c r="U104" s="119">
        <v>2.5</v>
      </c>
      <c r="V104" s="119">
        <v>0</v>
      </c>
      <c r="W104" s="119">
        <v>1</v>
      </c>
      <c r="X104" s="120">
        <v>0</v>
      </c>
      <c r="Y104" s="120">
        <v>0</v>
      </c>
      <c r="Z104" s="120">
        <v>0</v>
      </c>
      <c r="AC104" s="119">
        <v>0</v>
      </c>
    </row>
    <row r="105" spans="1:29">
      <c r="A105" s="121" t="s">
        <v>349</v>
      </c>
      <c r="B105" s="121" t="s">
        <v>294</v>
      </c>
      <c r="C105" s="121" t="s">
        <v>272</v>
      </c>
      <c r="D105" s="121" t="s">
        <v>291</v>
      </c>
      <c r="E105" s="121" t="s">
        <v>293</v>
      </c>
      <c r="F105" s="121" t="s">
        <v>294</v>
      </c>
      <c r="M105" s="121" t="s">
        <v>295</v>
      </c>
      <c r="N105" s="121" t="s">
        <v>434</v>
      </c>
      <c r="O105" s="118">
        <v>44879</v>
      </c>
      <c r="P105" s="118">
        <v>44918</v>
      </c>
      <c r="Q105" s="118">
        <v>44899</v>
      </c>
      <c r="R105" s="118">
        <v>44905</v>
      </c>
      <c r="S105" s="119">
        <v>50</v>
      </c>
      <c r="T105" s="119">
        <v>11</v>
      </c>
      <c r="U105" s="119">
        <v>2.5</v>
      </c>
      <c r="V105" s="119">
        <v>0</v>
      </c>
      <c r="W105" s="119">
        <v>1</v>
      </c>
      <c r="X105" s="120">
        <v>0</v>
      </c>
      <c r="Y105" s="120">
        <v>0</v>
      </c>
      <c r="Z105" s="120">
        <v>0</v>
      </c>
      <c r="AC105" s="119">
        <v>0</v>
      </c>
    </row>
    <row r="106" spans="1:29">
      <c r="A106" s="121" t="s">
        <v>349</v>
      </c>
      <c r="B106" s="121" t="s">
        <v>294</v>
      </c>
      <c r="C106" s="121" t="s">
        <v>272</v>
      </c>
      <c r="D106" s="121" t="s">
        <v>291</v>
      </c>
      <c r="E106" s="121" t="s">
        <v>293</v>
      </c>
      <c r="F106" s="121" t="s">
        <v>294</v>
      </c>
      <c r="M106" s="121" t="s">
        <v>295</v>
      </c>
      <c r="N106" s="121" t="s">
        <v>433</v>
      </c>
      <c r="O106" s="118">
        <v>44879</v>
      </c>
      <c r="P106" s="118">
        <v>44918</v>
      </c>
      <c r="Q106" s="118">
        <v>44899</v>
      </c>
      <c r="R106" s="118">
        <v>44905</v>
      </c>
      <c r="S106" s="119">
        <v>50</v>
      </c>
      <c r="T106" s="119">
        <v>11</v>
      </c>
      <c r="U106" s="119">
        <v>2.5</v>
      </c>
      <c r="V106" s="119">
        <v>0</v>
      </c>
      <c r="W106" s="119">
        <v>1</v>
      </c>
      <c r="X106" s="120">
        <v>0</v>
      </c>
      <c r="Y106" s="120">
        <v>0</v>
      </c>
      <c r="Z106" s="120">
        <v>0</v>
      </c>
      <c r="AC106" s="119">
        <v>0</v>
      </c>
    </row>
    <row r="107" spans="1:29">
      <c r="A107" s="121" t="s">
        <v>349</v>
      </c>
      <c r="B107" s="121" t="s">
        <v>294</v>
      </c>
      <c r="C107" s="121" t="s">
        <v>272</v>
      </c>
      <c r="D107" s="121" t="s">
        <v>291</v>
      </c>
      <c r="E107" s="121" t="s">
        <v>293</v>
      </c>
      <c r="F107" s="121" t="s">
        <v>294</v>
      </c>
      <c r="M107" s="121" t="s">
        <v>295</v>
      </c>
      <c r="N107" s="121" t="s">
        <v>434</v>
      </c>
      <c r="O107" s="118">
        <v>44879</v>
      </c>
      <c r="P107" s="118">
        <v>44918</v>
      </c>
      <c r="Q107" s="118">
        <v>44906</v>
      </c>
      <c r="R107" s="118">
        <v>44912</v>
      </c>
      <c r="S107" s="119">
        <v>51</v>
      </c>
      <c r="T107" s="119">
        <v>12</v>
      </c>
      <c r="U107" s="119">
        <v>2.5</v>
      </c>
      <c r="V107" s="119">
        <v>0</v>
      </c>
      <c r="W107" s="119">
        <v>1</v>
      </c>
      <c r="X107" s="120">
        <v>0</v>
      </c>
      <c r="Y107" s="120">
        <v>0</v>
      </c>
      <c r="Z107" s="120">
        <v>0</v>
      </c>
      <c r="AC107" s="119">
        <v>0</v>
      </c>
    </row>
    <row r="108" spans="1:29">
      <c r="A108" s="121" t="s">
        <v>349</v>
      </c>
      <c r="B108" s="121" t="s">
        <v>294</v>
      </c>
      <c r="C108" s="121" t="s">
        <v>272</v>
      </c>
      <c r="D108" s="121" t="s">
        <v>291</v>
      </c>
      <c r="E108" s="121" t="s">
        <v>293</v>
      </c>
      <c r="F108" s="121" t="s">
        <v>294</v>
      </c>
      <c r="M108" s="121" t="s">
        <v>295</v>
      </c>
      <c r="N108" s="121" t="s">
        <v>433</v>
      </c>
      <c r="O108" s="118">
        <v>44879</v>
      </c>
      <c r="P108" s="118">
        <v>44918</v>
      </c>
      <c r="Q108" s="118">
        <v>44906</v>
      </c>
      <c r="R108" s="118">
        <v>44912</v>
      </c>
      <c r="S108" s="119">
        <v>51</v>
      </c>
      <c r="T108" s="119">
        <v>12</v>
      </c>
      <c r="U108" s="119">
        <v>2.5</v>
      </c>
      <c r="V108" s="119">
        <v>0</v>
      </c>
      <c r="W108" s="119">
        <v>1</v>
      </c>
      <c r="X108" s="120">
        <v>0</v>
      </c>
      <c r="Y108" s="120">
        <v>0</v>
      </c>
      <c r="Z108" s="120">
        <v>0</v>
      </c>
      <c r="AC108" s="119">
        <v>0</v>
      </c>
    </row>
    <row r="109" spans="1:29">
      <c r="A109" s="121" t="s">
        <v>349</v>
      </c>
      <c r="B109" s="121" t="s">
        <v>294</v>
      </c>
      <c r="C109" s="121" t="s">
        <v>272</v>
      </c>
      <c r="D109" s="121" t="s">
        <v>291</v>
      </c>
      <c r="E109" s="121" t="s">
        <v>293</v>
      </c>
      <c r="F109" s="121" t="s">
        <v>294</v>
      </c>
      <c r="M109" s="121" t="s">
        <v>295</v>
      </c>
      <c r="N109" s="121" t="s">
        <v>434</v>
      </c>
      <c r="O109" s="118">
        <v>44879</v>
      </c>
      <c r="P109" s="118">
        <v>44918</v>
      </c>
      <c r="Q109" s="118">
        <v>44913</v>
      </c>
      <c r="R109" s="118">
        <v>44919</v>
      </c>
      <c r="S109" s="119">
        <v>52</v>
      </c>
      <c r="T109" s="119">
        <v>13</v>
      </c>
      <c r="U109" s="119">
        <v>2.5</v>
      </c>
      <c r="V109" s="119">
        <v>0</v>
      </c>
      <c r="W109" s="119">
        <v>1</v>
      </c>
      <c r="X109" s="120">
        <v>0</v>
      </c>
      <c r="Y109" s="120">
        <v>0</v>
      </c>
      <c r="Z109" s="120">
        <v>0</v>
      </c>
      <c r="AC109" s="119">
        <v>0</v>
      </c>
    </row>
    <row r="110" spans="1:29">
      <c r="A110" s="121" t="s">
        <v>349</v>
      </c>
      <c r="B110" s="121" t="s">
        <v>294</v>
      </c>
      <c r="C110" s="121" t="s">
        <v>272</v>
      </c>
      <c r="D110" s="121" t="s">
        <v>291</v>
      </c>
      <c r="E110" s="121" t="s">
        <v>293</v>
      </c>
      <c r="F110" s="121" t="s">
        <v>294</v>
      </c>
      <c r="M110" s="121" t="s">
        <v>295</v>
      </c>
      <c r="N110" s="121" t="s">
        <v>433</v>
      </c>
      <c r="O110" s="118">
        <v>44879</v>
      </c>
      <c r="P110" s="118">
        <v>44918</v>
      </c>
      <c r="Q110" s="118">
        <v>44913</v>
      </c>
      <c r="R110" s="118">
        <v>44919</v>
      </c>
      <c r="S110" s="119">
        <v>52</v>
      </c>
      <c r="T110" s="119">
        <v>13</v>
      </c>
      <c r="U110" s="119">
        <v>2.5</v>
      </c>
      <c r="V110" s="119">
        <v>0</v>
      </c>
      <c r="W110" s="119">
        <v>1</v>
      </c>
      <c r="X110" s="120">
        <v>0</v>
      </c>
      <c r="Y110" s="120">
        <v>0</v>
      </c>
      <c r="Z110" s="120">
        <v>0</v>
      </c>
      <c r="AC110" s="119">
        <v>0</v>
      </c>
    </row>
    <row r="111" spans="1:29">
      <c r="A111" s="121" t="s">
        <v>349</v>
      </c>
      <c r="B111" s="121" t="s">
        <v>296</v>
      </c>
      <c r="C111" s="121" t="s">
        <v>272</v>
      </c>
      <c r="D111" s="121" t="s">
        <v>291</v>
      </c>
      <c r="E111" s="121" t="s">
        <v>293</v>
      </c>
      <c r="F111" s="121" t="s">
        <v>296</v>
      </c>
      <c r="M111" s="121" t="s">
        <v>297</v>
      </c>
      <c r="N111" s="121" t="s">
        <v>434</v>
      </c>
      <c r="O111" s="118">
        <v>44921</v>
      </c>
      <c r="P111" s="118">
        <v>44925</v>
      </c>
      <c r="Q111" s="118">
        <v>44920</v>
      </c>
      <c r="R111" s="118">
        <v>44926</v>
      </c>
      <c r="S111" s="119">
        <v>53</v>
      </c>
      <c r="T111" s="119">
        <v>14</v>
      </c>
      <c r="U111" s="119">
        <v>2.5</v>
      </c>
      <c r="V111" s="119">
        <v>0</v>
      </c>
      <c r="W111" s="119">
        <v>1</v>
      </c>
      <c r="X111" s="120">
        <v>0</v>
      </c>
      <c r="Y111" s="120">
        <v>0</v>
      </c>
      <c r="Z111" s="120">
        <v>0</v>
      </c>
      <c r="AC111" s="119">
        <v>0</v>
      </c>
    </row>
    <row r="112" spans="1:29">
      <c r="A112" s="121" t="s">
        <v>349</v>
      </c>
      <c r="B112" s="121" t="s">
        <v>296</v>
      </c>
      <c r="C112" s="121" t="s">
        <v>272</v>
      </c>
      <c r="D112" s="121" t="s">
        <v>291</v>
      </c>
      <c r="E112" s="121" t="s">
        <v>293</v>
      </c>
      <c r="F112" s="121" t="s">
        <v>296</v>
      </c>
      <c r="M112" s="121" t="s">
        <v>297</v>
      </c>
      <c r="N112" s="121" t="s">
        <v>433</v>
      </c>
      <c r="O112" s="118">
        <v>44921</v>
      </c>
      <c r="P112" s="118">
        <v>44925</v>
      </c>
      <c r="Q112" s="118">
        <v>44920</v>
      </c>
      <c r="R112" s="118">
        <v>44926</v>
      </c>
      <c r="S112" s="119">
        <v>53</v>
      </c>
      <c r="T112" s="119">
        <v>14</v>
      </c>
      <c r="U112" s="119">
        <v>2.5</v>
      </c>
      <c r="V112" s="119">
        <v>0</v>
      </c>
      <c r="W112" s="119">
        <v>1</v>
      </c>
      <c r="X112" s="120">
        <v>0</v>
      </c>
      <c r="Y112" s="120">
        <v>0</v>
      </c>
      <c r="Z112" s="120">
        <v>0</v>
      </c>
      <c r="AC112" s="119">
        <v>0</v>
      </c>
    </row>
    <row r="113" spans="1:29">
      <c r="A113" s="121" t="s">
        <v>349</v>
      </c>
      <c r="B113" s="121" t="s">
        <v>301</v>
      </c>
      <c r="C113" s="121" t="s">
        <v>272</v>
      </c>
      <c r="D113" s="121" t="s">
        <v>291</v>
      </c>
      <c r="E113" s="121" t="s">
        <v>300</v>
      </c>
      <c r="F113" s="121" t="s">
        <v>301</v>
      </c>
      <c r="M113" s="121" t="s">
        <v>302</v>
      </c>
      <c r="N113" s="121" t="s">
        <v>247</v>
      </c>
      <c r="O113" s="118">
        <v>44928</v>
      </c>
      <c r="P113" s="118">
        <v>44932</v>
      </c>
      <c r="Q113" s="118">
        <v>44927</v>
      </c>
      <c r="R113" s="118">
        <v>44933</v>
      </c>
      <c r="S113" s="119">
        <v>1</v>
      </c>
      <c r="T113" s="119">
        <v>15</v>
      </c>
      <c r="U113" s="119">
        <v>5</v>
      </c>
      <c r="V113" s="119">
        <v>0</v>
      </c>
      <c r="W113" s="119">
        <v>1</v>
      </c>
      <c r="X113" s="120">
        <v>0</v>
      </c>
      <c r="Y113" s="120">
        <v>0</v>
      </c>
      <c r="Z113" s="120">
        <v>0</v>
      </c>
      <c r="AC113" s="119">
        <v>0</v>
      </c>
    </row>
    <row r="114" spans="1:29">
      <c r="A114" s="121" t="s">
        <v>349</v>
      </c>
      <c r="B114" s="121" t="s">
        <v>303</v>
      </c>
      <c r="C114" s="121" t="s">
        <v>272</v>
      </c>
      <c r="D114" s="121" t="s">
        <v>291</v>
      </c>
      <c r="E114" s="121" t="s">
        <v>300</v>
      </c>
      <c r="F114" s="121" t="s">
        <v>303</v>
      </c>
      <c r="M114" s="121" t="s">
        <v>304</v>
      </c>
      <c r="N114" s="121" t="s">
        <v>434</v>
      </c>
      <c r="O114" s="118">
        <v>44928</v>
      </c>
      <c r="P114" s="118">
        <v>44967</v>
      </c>
      <c r="Q114" s="118">
        <v>44927</v>
      </c>
      <c r="R114" s="118">
        <v>44933</v>
      </c>
      <c r="S114" s="119">
        <v>1</v>
      </c>
      <c r="T114" s="119">
        <v>15</v>
      </c>
      <c r="U114" s="119">
        <v>2.5</v>
      </c>
      <c r="V114" s="119">
        <v>0</v>
      </c>
      <c r="W114" s="119">
        <v>1</v>
      </c>
      <c r="X114" s="120">
        <v>0</v>
      </c>
      <c r="Y114" s="120">
        <v>0</v>
      </c>
      <c r="Z114" s="120">
        <v>0</v>
      </c>
      <c r="AC114" s="119">
        <v>0</v>
      </c>
    </row>
    <row r="115" spans="1:29">
      <c r="A115" s="121" t="s">
        <v>349</v>
      </c>
      <c r="B115" s="121" t="s">
        <v>303</v>
      </c>
      <c r="C115" s="121" t="s">
        <v>272</v>
      </c>
      <c r="D115" s="121" t="s">
        <v>291</v>
      </c>
      <c r="E115" s="121" t="s">
        <v>300</v>
      </c>
      <c r="F115" s="121" t="s">
        <v>303</v>
      </c>
      <c r="M115" s="121" t="s">
        <v>304</v>
      </c>
      <c r="N115" s="121" t="s">
        <v>433</v>
      </c>
      <c r="O115" s="118">
        <v>44928</v>
      </c>
      <c r="P115" s="118">
        <v>44967</v>
      </c>
      <c r="Q115" s="118">
        <v>44927</v>
      </c>
      <c r="R115" s="118">
        <v>44933</v>
      </c>
      <c r="S115" s="119">
        <v>1</v>
      </c>
      <c r="T115" s="119">
        <v>15</v>
      </c>
      <c r="U115" s="119">
        <v>2.5</v>
      </c>
      <c r="V115" s="119">
        <v>0</v>
      </c>
      <c r="W115" s="119">
        <v>1</v>
      </c>
      <c r="X115" s="120">
        <v>0</v>
      </c>
      <c r="Y115" s="120">
        <v>0</v>
      </c>
      <c r="Z115" s="120">
        <v>0</v>
      </c>
      <c r="AC115" s="119">
        <v>0</v>
      </c>
    </row>
    <row r="116" spans="1:29">
      <c r="A116" s="121" t="s">
        <v>349</v>
      </c>
      <c r="B116" s="121" t="s">
        <v>303</v>
      </c>
      <c r="C116" s="121" t="s">
        <v>272</v>
      </c>
      <c r="D116" s="121" t="s">
        <v>291</v>
      </c>
      <c r="E116" s="121" t="s">
        <v>300</v>
      </c>
      <c r="F116" s="121" t="s">
        <v>303</v>
      </c>
      <c r="M116" s="121" t="s">
        <v>304</v>
      </c>
      <c r="N116" s="121" t="s">
        <v>434</v>
      </c>
      <c r="O116" s="118">
        <v>44928</v>
      </c>
      <c r="P116" s="118">
        <v>44967</v>
      </c>
      <c r="Q116" s="118">
        <v>44934</v>
      </c>
      <c r="R116" s="118">
        <v>44940</v>
      </c>
      <c r="S116" s="119">
        <v>2</v>
      </c>
      <c r="T116" s="119">
        <v>16</v>
      </c>
      <c r="U116" s="119">
        <v>2.5</v>
      </c>
      <c r="V116" s="119">
        <v>0</v>
      </c>
      <c r="W116" s="119">
        <v>1</v>
      </c>
      <c r="X116" s="120">
        <v>0</v>
      </c>
      <c r="Y116" s="120">
        <v>0</v>
      </c>
      <c r="Z116" s="120">
        <v>0</v>
      </c>
      <c r="AC116" s="119">
        <v>0</v>
      </c>
    </row>
    <row r="117" spans="1:29">
      <c r="A117" s="121" t="s">
        <v>349</v>
      </c>
      <c r="B117" s="121" t="s">
        <v>303</v>
      </c>
      <c r="C117" s="121" t="s">
        <v>272</v>
      </c>
      <c r="D117" s="121" t="s">
        <v>291</v>
      </c>
      <c r="E117" s="121" t="s">
        <v>300</v>
      </c>
      <c r="F117" s="121" t="s">
        <v>303</v>
      </c>
      <c r="M117" s="121" t="s">
        <v>304</v>
      </c>
      <c r="N117" s="121" t="s">
        <v>433</v>
      </c>
      <c r="O117" s="118">
        <v>44928</v>
      </c>
      <c r="P117" s="118">
        <v>44967</v>
      </c>
      <c r="Q117" s="118">
        <v>44934</v>
      </c>
      <c r="R117" s="118">
        <v>44940</v>
      </c>
      <c r="S117" s="119">
        <v>2</v>
      </c>
      <c r="T117" s="119">
        <v>16</v>
      </c>
      <c r="U117" s="119">
        <v>2.5</v>
      </c>
      <c r="V117" s="119">
        <v>0</v>
      </c>
      <c r="W117" s="119">
        <v>1</v>
      </c>
      <c r="X117" s="120">
        <v>0</v>
      </c>
      <c r="Y117" s="120">
        <v>0</v>
      </c>
      <c r="Z117" s="120">
        <v>0</v>
      </c>
      <c r="AC117" s="119">
        <v>0</v>
      </c>
    </row>
    <row r="118" spans="1:29">
      <c r="A118" s="121" t="s">
        <v>349</v>
      </c>
      <c r="B118" s="121" t="s">
        <v>303</v>
      </c>
      <c r="C118" s="121" t="s">
        <v>272</v>
      </c>
      <c r="D118" s="121" t="s">
        <v>291</v>
      </c>
      <c r="E118" s="121" t="s">
        <v>300</v>
      </c>
      <c r="F118" s="121" t="s">
        <v>303</v>
      </c>
      <c r="M118" s="121" t="s">
        <v>304</v>
      </c>
      <c r="N118" s="121" t="s">
        <v>434</v>
      </c>
      <c r="O118" s="118">
        <v>44928</v>
      </c>
      <c r="P118" s="118">
        <v>44967</v>
      </c>
      <c r="Q118" s="118">
        <v>44941</v>
      </c>
      <c r="R118" s="118">
        <v>44947</v>
      </c>
      <c r="S118" s="119">
        <v>3</v>
      </c>
      <c r="T118" s="119">
        <v>17</v>
      </c>
      <c r="U118" s="119">
        <v>2.5</v>
      </c>
      <c r="V118" s="119">
        <v>0</v>
      </c>
      <c r="W118" s="119">
        <v>1</v>
      </c>
      <c r="X118" s="120">
        <v>0</v>
      </c>
      <c r="Y118" s="120">
        <v>0</v>
      </c>
      <c r="Z118" s="120">
        <v>0</v>
      </c>
      <c r="AC118" s="119">
        <v>0</v>
      </c>
    </row>
    <row r="119" spans="1:29">
      <c r="A119" s="121" t="s">
        <v>349</v>
      </c>
      <c r="B119" s="121" t="s">
        <v>303</v>
      </c>
      <c r="C119" s="121" t="s">
        <v>272</v>
      </c>
      <c r="D119" s="121" t="s">
        <v>291</v>
      </c>
      <c r="E119" s="121" t="s">
        <v>300</v>
      </c>
      <c r="F119" s="121" t="s">
        <v>303</v>
      </c>
      <c r="M119" s="121" t="s">
        <v>304</v>
      </c>
      <c r="N119" s="121" t="s">
        <v>433</v>
      </c>
      <c r="O119" s="118">
        <v>44928</v>
      </c>
      <c r="P119" s="118">
        <v>44967</v>
      </c>
      <c r="Q119" s="118">
        <v>44941</v>
      </c>
      <c r="R119" s="118">
        <v>44947</v>
      </c>
      <c r="S119" s="119">
        <v>3</v>
      </c>
      <c r="T119" s="119">
        <v>17</v>
      </c>
      <c r="U119" s="119">
        <v>2.5</v>
      </c>
      <c r="V119" s="119">
        <v>0</v>
      </c>
      <c r="W119" s="119">
        <v>1</v>
      </c>
      <c r="X119" s="120">
        <v>0</v>
      </c>
      <c r="Y119" s="120">
        <v>0</v>
      </c>
      <c r="Z119" s="120">
        <v>0</v>
      </c>
      <c r="AC119" s="119">
        <v>0</v>
      </c>
    </row>
    <row r="120" spans="1:29">
      <c r="A120" s="121" t="s">
        <v>349</v>
      </c>
      <c r="B120" s="121" t="s">
        <v>303</v>
      </c>
      <c r="C120" s="121" t="s">
        <v>272</v>
      </c>
      <c r="D120" s="121" t="s">
        <v>291</v>
      </c>
      <c r="E120" s="121" t="s">
        <v>300</v>
      </c>
      <c r="F120" s="121" t="s">
        <v>303</v>
      </c>
      <c r="M120" s="121" t="s">
        <v>304</v>
      </c>
      <c r="N120" s="121" t="s">
        <v>434</v>
      </c>
      <c r="O120" s="118">
        <v>44928</v>
      </c>
      <c r="P120" s="118">
        <v>44967</v>
      </c>
      <c r="Q120" s="118">
        <v>44948</v>
      </c>
      <c r="R120" s="118">
        <v>44954</v>
      </c>
      <c r="S120" s="119">
        <v>4</v>
      </c>
      <c r="T120" s="119">
        <v>18</v>
      </c>
      <c r="U120" s="119">
        <v>1.5</v>
      </c>
      <c r="V120" s="119">
        <v>0</v>
      </c>
      <c r="W120" s="119">
        <v>1</v>
      </c>
      <c r="X120" s="120">
        <v>0</v>
      </c>
      <c r="Y120" s="120">
        <v>0</v>
      </c>
      <c r="Z120" s="120">
        <v>0</v>
      </c>
      <c r="AC120" s="119">
        <v>0</v>
      </c>
    </row>
    <row r="121" spans="1:29">
      <c r="A121" s="121" t="s">
        <v>349</v>
      </c>
      <c r="B121" s="121" t="s">
        <v>303</v>
      </c>
      <c r="C121" s="121" t="s">
        <v>272</v>
      </c>
      <c r="D121" s="121" t="s">
        <v>291</v>
      </c>
      <c r="E121" s="121" t="s">
        <v>300</v>
      </c>
      <c r="F121" s="121" t="s">
        <v>303</v>
      </c>
      <c r="M121" s="121" t="s">
        <v>304</v>
      </c>
      <c r="N121" s="121" t="s">
        <v>433</v>
      </c>
      <c r="O121" s="118">
        <v>44928</v>
      </c>
      <c r="P121" s="118">
        <v>44967</v>
      </c>
      <c r="Q121" s="118">
        <v>44948</v>
      </c>
      <c r="R121" s="118">
        <v>44954</v>
      </c>
      <c r="S121" s="119">
        <v>4</v>
      </c>
      <c r="T121" s="119">
        <v>18</v>
      </c>
      <c r="U121" s="119">
        <v>1.5</v>
      </c>
      <c r="V121" s="119">
        <v>0</v>
      </c>
      <c r="W121" s="119">
        <v>1</v>
      </c>
      <c r="X121" s="120">
        <v>0</v>
      </c>
      <c r="Y121" s="120">
        <v>0</v>
      </c>
      <c r="Z121" s="120">
        <v>0</v>
      </c>
      <c r="AC121" s="119">
        <v>0</v>
      </c>
    </row>
    <row r="122" spans="1:29">
      <c r="A122" s="121" t="s">
        <v>349</v>
      </c>
      <c r="B122" s="121" t="s">
        <v>303</v>
      </c>
      <c r="C122" s="121" t="s">
        <v>272</v>
      </c>
      <c r="D122" s="121" t="s">
        <v>291</v>
      </c>
      <c r="E122" s="121" t="s">
        <v>300</v>
      </c>
      <c r="F122" s="121" t="s">
        <v>303</v>
      </c>
      <c r="M122" s="121" t="s">
        <v>304</v>
      </c>
      <c r="N122" s="121" t="s">
        <v>434</v>
      </c>
      <c r="O122" s="118">
        <v>44928</v>
      </c>
      <c r="P122" s="118">
        <v>44967</v>
      </c>
      <c r="Q122" s="118">
        <v>44955</v>
      </c>
      <c r="R122" s="118">
        <v>44961</v>
      </c>
      <c r="S122" s="119">
        <v>5</v>
      </c>
      <c r="T122" s="119">
        <v>19</v>
      </c>
      <c r="U122" s="119">
        <v>2.5</v>
      </c>
      <c r="V122" s="119">
        <v>0</v>
      </c>
      <c r="W122" s="119">
        <v>1</v>
      </c>
      <c r="X122" s="120">
        <v>0</v>
      </c>
      <c r="Y122" s="120">
        <v>0</v>
      </c>
      <c r="Z122" s="120">
        <v>0</v>
      </c>
      <c r="AC122" s="119">
        <v>0</v>
      </c>
    </row>
    <row r="123" spans="1:29">
      <c r="A123" s="121" t="s">
        <v>349</v>
      </c>
      <c r="B123" s="121" t="s">
        <v>303</v>
      </c>
      <c r="C123" s="121" t="s">
        <v>272</v>
      </c>
      <c r="D123" s="121" t="s">
        <v>291</v>
      </c>
      <c r="E123" s="121" t="s">
        <v>300</v>
      </c>
      <c r="F123" s="121" t="s">
        <v>303</v>
      </c>
      <c r="M123" s="121" t="s">
        <v>304</v>
      </c>
      <c r="N123" s="121" t="s">
        <v>433</v>
      </c>
      <c r="O123" s="118">
        <v>44928</v>
      </c>
      <c r="P123" s="118">
        <v>44967</v>
      </c>
      <c r="Q123" s="118">
        <v>44955</v>
      </c>
      <c r="R123" s="118">
        <v>44961</v>
      </c>
      <c r="S123" s="119">
        <v>5</v>
      </c>
      <c r="T123" s="119">
        <v>19</v>
      </c>
      <c r="U123" s="119">
        <v>2.5</v>
      </c>
      <c r="V123" s="119">
        <v>0</v>
      </c>
      <c r="W123" s="119">
        <v>1</v>
      </c>
      <c r="X123" s="120">
        <v>0</v>
      </c>
      <c r="Y123" s="120">
        <v>0</v>
      </c>
      <c r="Z123" s="120">
        <v>0</v>
      </c>
      <c r="AC123" s="119">
        <v>0</v>
      </c>
    </row>
    <row r="124" spans="1:29">
      <c r="A124" s="121" t="s">
        <v>349</v>
      </c>
      <c r="B124" s="121" t="s">
        <v>303</v>
      </c>
      <c r="C124" s="121" t="s">
        <v>272</v>
      </c>
      <c r="D124" s="121" t="s">
        <v>291</v>
      </c>
      <c r="E124" s="121" t="s">
        <v>300</v>
      </c>
      <c r="F124" s="121" t="s">
        <v>303</v>
      </c>
      <c r="M124" s="121" t="s">
        <v>304</v>
      </c>
      <c r="N124" s="121" t="s">
        <v>434</v>
      </c>
      <c r="O124" s="118">
        <v>44928</v>
      </c>
      <c r="P124" s="118">
        <v>44967</v>
      </c>
      <c r="Q124" s="118">
        <v>44962</v>
      </c>
      <c r="R124" s="118">
        <v>44968</v>
      </c>
      <c r="S124" s="119">
        <v>6</v>
      </c>
      <c r="T124" s="119">
        <v>20</v>
      </c>
      <c r="U124" s="119">
        <v>2.5</v>
      </c>
      <c r="V124" s="119">
        <v>0</v>
      </c>
      <c r="W124" s="119">
        <v>1</v>
      </c>
      <c r="X124" s="120">
        <v>0</v>
      </c>
      <c r="Y124" s="120">
        <v>0</v>
      </c>
      <c r="Z124" s="120">
        <v>0</v>
      </c>
      <c r="AC124" s="119">
        <v>0</v>
      </c>
    </row>
    <row r="125" spans="1:29">
      <c r="A125" s="121" t="s">
        <v>349</v>
      </c>
      <c r="B125" s="121" t="s">
        <v>303</v>
      </c>
      <c r="C125" s="121" t="s">
        <v>272</v>
      </c>
      <c r="D125" s="121" t="s">
        <v>291</v>
      </c>
      <c r="E125" s="121" t="s">
        <v>300</v>
      </c>
      <c r="F125" s="121" t="s">
        <v>303</v>
      </c>
      <c r="M125" s="121" t="s">
        <v>304</v>
      </c>
      <c r="N125" s="121" t="s">
        <v>433</v>
      </c>
      <c r="O125" s="118">
        <v>44928</v>
      </c>
      <c r="P125" s="118">
        <v>44967</v>
      </c>
      <c r="Q125" s="118">
        <v>44962</v>
      </c>
      <c r="R125" s="118">
        <v>44968</v>
      </c>
      <c r="S125" s="119">
        <v>6</v>
      </c>
      <c r="T125" s="119">
        <v>20</v>
      </c>
      <c r="U125" s="119">
        <v>2.5</v>
      </c>
      <c r="V125" s="119">
        <v>0</v>
      </c>
      <c r="W125" s="119">
        <v>1</v>
      </c>
      <c r="X125" s="120">
        <v>0</v>
      </c>
      <c r="Y125" s="120">
        <v>0</v>
      </c>
      <c r="Z125" s="120">
        <v>0</v>
      </c>
      <c r="AC125" s="119">
        <v>0</v>
      </c>
    </row>
    <row r="126" spans="1:29">
      <c r="A126" s="121" t="s">
        <v>349</v>
      </c>
      <c r="B126" s="121" t="s">
        <v>306</v>
      </c>
      <c r="C126" s="121" t="s">
        <v>272</v>
      </c>
      <c r="D126" s="121" t="s">
        <v>291</v>
      </c>
      <c r="E126" s="121" t="s">
        <v>300</v>
      </c>
      <c r="F126" s="121" t="s">
        <v>306</v>
      </c>
      <c r="M126" s="121" t="s">
        <v>307</v>
      </c>
      <c r="N126" s="121" t="s">
        <v>247</v>
      </c>
      <c r="O126" s="118">
        <v>44970</v>
      </c>
      <c r="P126" s="118">
        <v>44974</v>
      </c>
      <c r="Q126" s="118">
        <v>44969</v>
      </c>
      <c r="R126" s="118">
        <v>44975</v>
      </c>
      <c r="S126" s="119">
        <v>7</v>
      </c>
      <c r="T126" s="119">
        <v>21</v>
      </c>
      <c r="U126" s="119">
        <v>1.6666666666666667</v>
      </c>
      <c r="V126" s="119">
        <v>0</v>
      </c>
      <c r="W126" s="119">
        <v>1</v>
      </c>
      <c r="X126" s="120">
        <v>0</v>
      </c>
      <c r="Y126" s="120">
        <v>0</v>
      </c>
      <c r="Z126" s="120">
        <v>0</v>
      </c>
      <c r="AC126" s="119">
        <v>0</v>
      </c>
    </row>
    <row r="127" spans="1:29">
      <c r="A127" s="121" t="s">
        <v>349</v>
      </c>
      <c r="B127" s="121" t="s">
        <v>306</v>
      </c>
      <c r="C127" s="121" t="s">
        <v>272</v>
      </c>
      <c r="D127" s="121" t="s">
        <v>291</v>
      </c>
      <c r="E127" s="121" t="s">
        <v>300</v>
      </c>
      <c r="F127" s="121" t="s">
        <v>306</v>
      </c>
      <c r="M127" s="121" t="s">
        <v>307</v>
      </c>
      <c r="N127" s="121" t="s">
        <v>434</v>
      </c>
      <c r="O127" s="118">
        <v>44970</v>
      </c>
      <c r="P127" s="118">
        <v>44974</v>
      </c>
      <c r="Q127" s="118">
        <v>44969</v>
      </c>
      <c r="R127" s="118">
        <v>44975</v>
      </c>
      <c r="S127" s="119">
        <v>7</v>
      </c>
      <c r="T127" s="119">
        <v>21</v>
      </c>
      <c r="U127" s="119">
        <v>1.6666666666666667</v>
      </c>
      <c r="V127" s="119">
        <v>0</v>
      </c>
      <c r="W127" s="119">
        <v>1</v>
      </c>
      <c r="X127" s="120">
        <v>0</v>
      </c>
      <c r="Y127" s="120">
        <v>0</v>
      </c>
      <c r="Z127" s="120">
        <v>0</v>
      </c>
      <c r="AC127" s="119">
        <v>0</v>
      </c>
    </row>
    <row r="128" spans="1:29">
      <c r="A128" s="121" t="s">
        <v>349</v>
      </c>
      <c r="B128" s="121" t="s">
        <v>306</v>
      </c>
      <c r="C128" s="121" t="s">
        <v>272</v>
      </c>
      <c r="D128" s="121" t="s">
        <v>291</v>
      </c>
      <c r="E128" s="121" t="s">
        <v>300</v>
      </c>
      <c r="F128" s="121" t="s">
        <v>306</v>
      </c>
      <c r="M128" s="121" t="s">
        <v>307</v>
      </c>
      <c r="N128" s="121" t="s">
        <v>433</v>
      </c>
      <c r="O128" s="118">
        <v>44970</v>
      </c>
      <c r="P128" s="118">
        <v>44974</v>
      </c>
      <c r="Q128" s="118">
        <v>44969</v>
      </c>
      <c r="R128" s="118">
        <v>44975</v>
      </c>
      <c r="S128" s="119">
        <v>7</v>
      </c>
      <c r="T128" s="119">
        <v>21</v>
      </c>
      <c r="U128" s="119">
        <v>1.6666666666666667</v>
      </c>
      <c r="V128" s="119">
        <v>0</v>
      </c>
      <c r="W128" s="119">
        <v>1</v>
      </c>
      <c r="X128" s="120">
        <v>0</v>
      </c>
      <c r="Y128" s="120">
        <v>0</v>
      </c>
      <c r="Z128" s="120">
        <v>0</v>
      </c>
      <c r="AC128" s="119">
        <v>0</v>
      </c>
    </row>
    <row r="129" spans="1:29">
      <c r="A129" s="121" t="s">
        <v>349</v>
      </c>
      <c r="B129" s="121" t="s">
        <v>310</v>
      </c>
      <c r="C129" s="121" t="s">
        <v>272</v>
      </c>
      <c r="D129" s="121" t="s">
        <v>291</v>
      </c>
      <c r="E129" s="121" t="s">
        <v>308</v>
      </c>
      <c r="F129" s="121" t="s">
        <v>310</v>
      </c>
      <c r="M129" s="121" t="s">
        <v>309</v>
      </c>
      <c r="N129" s="121" t="s">
        <v>283</v>
      </c>
      <c r="O129" s="118">
        <v>44977</v>
      </c>
      <c r="P129" s="118">
        <v>44978</v>
      </c>
      <c r="Q129" s="118">
        <v>44976</v>
      </c>
      <c r="R129" s="118">
        <v>44982</v>
      </c>
      <c r="S129" s="119">
        <v>8</v>
      </c>
      <c r="T129" s="119">
        <v>22</v>
      </c>
      <c r="U129" s="119">
        <v>2</v>
      </c>
      <c r="V129" s="119">
        <v>0</v>
      </c>
      <c r="W129" s="119">
        <v>1</v>
      </c>
      <c r="X129" s="120">
        <v>0</v>
      </c>
      <c r="Y129" s="120">
        <v>0</v>
      </c>
      <c r="Z129" s="120">
        <v>0</v>
      </c>
      <c r="AC129" s="119">
        <v>0</v>
      </c>
    </row>
    <row r="130" spans="1:29">
      <c r="A130" s="121" t="s">
        <v>272</v>
      </c>
      <c r="B130" s="121" t="s">
        <v>314</v>
      </c>
      <c r="C130" s="121" t="s">
        <v>272</v>
      </c>
      <c r="D130" s="121" t="s">
        <v>312</v>
      </c>
      <c r="E130" s="121" t="s">
        <v>314</v>
      </c>
      <c r="M130" s="121" t="s">
        <v>315</v>
      </c>
      <c r="N130" s="121" t="s">
        <v>283</v>
      </c>
      <c r="O130" s="118">
        <v>44865</v>
      </c>
      <c r="P130" s="118">
        <v>44869</v>
      </c>
      <c r="Q130" s="118">
        <v>44864</v>
      </c>
      <c r="R130" s="118">
        <v>44870</v>
      </c>
      <c r="S130" s="119">
        <v>45</v>
      </c>
      <c r="T130" s="119">
        <v>6</v>
      </c>
      <c r="U130" s="119">
        <v>5</v>
      </c>
      <c r="V130" s="119">
        <v>0</v>
      </c>
      <c r="W130" s="119">
        <v>1</v>
      </c>
      <c r="X130" s="120">
        <v>0</v>
      </c>
      <c r="Y130" s="120">
        <v>0</v>
      </c>
      <c r="Z130" s="120">
        <v>0</v>
      </c>
      <c r="AC130" s="119">
        <v>0</v>
      </c>
    </row>
    <row r="131" spans="1:29">
      <c r="A131" s="121" t="s">
        <v>272</v>
      </c>
      <c r="B131" s="121" t="s">
        <v>318</v>
      </c>
      <c r="C131" s="121" t="s">
        <v>272</v>
      </c>
      <c r="D131" s="121" t="s">
        <v>312</v>
      </c>
      <c r="E131" s="121" t="s">
        <v>318</v>
      </c>
      <c r="M131" s="121" t="s">
        <v>319</v>
      </c>
      <c r="N131" s="121" t="s">
        <v>283</v>
      </c>
      <c r="O131" s="118">
        <v>44872</v>
      </c>
      <c r="P131" s="118">
        <v>44890</v>
      </c>
      <c r="Q131" s="118">
        <v>44871</v>
      </c>
      <c r="R131" s="118">
        <v>44877</v>
      </c>
      <c r="S131" s="119">
        <v>46</v>
      </c>
      <c r="T131" s="119">
        <v>7</v>
      </c>
      <c r="U131" s="119">
        <v>5</v>
      </c>
      <c r="V131" s="119">
        <v>0</v>
      </c>
      <c r="W131" s="119">
        <v>1</v>
      </c>
      <c r="X131" s="120">
        <v>0</v>
      </c>
      <c r="Y131" s="120">
        <v>0</v>
      </c>
      <c r="Z131" s="120">
        <v>0</v>
      </c>
      <c r="AC131" s="119">
        <v>0</v>
      </c>
    </row>
    <row r="132" spans="1:29">
      <c r="A132" s="121" t="s">
        <v>272</v>
      </c>
      <c r="B132" s="121" t="s">
        <v>318</v>
      </c>
      <c r="C132" s="121" t="s">
        <v>272</v>
      </c>
      <c r="D132" s="121" t="s">
        <v>312</v>
      </c>
      <c r="E132" s="121" t="s">
        <v>318</v>
      </c>
      <c r="M132" s="121" t="s">
        <v>319</v>
      </c>
      <c r="N132" s="121" t="s">
        <v>283</v>
      </c>
      <c r="O132" s="118">
        <v>44872</v>
      </c>
      <c r="P132" s="118">
        <v>44890</v>
      </c>
      <c r="Q132" s="118">
        <v>44878</v>
      </c>
      <c r="R132" s="118">
        <v>44884</v>
      </c>
      <c r="S132" s="119">
        <v>47</v>
      </c>
      <c r="T132" s="119">
        <v>8</v>
      </c>
      <c r="U132" s="119">
        <v>5</v>
      </c>
      <c r="V132" s="119">
        <v>0</v>
      </c>
      <c r="W132" s="119">
        <v>1</v>
      </c>
      <c r="X132" s="120">
        <v>0</v>
      </c>
      <c r="Y132" s="120">
        <v>0</v>
      </c>
      <c r="Z132" s="120">
        <v>0</v>
      </c>
      <c r="AC132" s="119">
        <v>0</v>
      </c>
    </row>
    <row r="133" spans="1:29">
      <c r="A133" s="121" t="s">
        <v>272</v>
      </c>
      <c r="B133" s="121" t="s">
        <v>318</v>
      </c>
      <c r="C133" s="121" t="s">
        <v>272</v>
      </c>
      <c r="D133" s="121" t="s">
        <v>312</v>
      </c>
      <c r="E133" s="121" t="s">
        <v>318</v>
      </c>
      <c r="M133" s="121" t="s">
        <v>319</v>
      </c>
      <c r="N133" s="121" t="s">
        <v>283</v>
      </c>
      <c r="O133" s="118">
        <v>44872</v>
      </c>
      <c r="P133" s="118">
        <v>44890</v>
      </c>
      <c r="Q133" s="118">
        <v>44885</v>
      </c>
      <c r="R133" s="118">
        <v>44891</v>
      </c>
      <c r="S133" s="119">
        <v>48</v>
      </c>
      <c r="T133" s="119">
        <v>9</v>
      </c>
      <c r="U133" s="119">
        <v>5</v>
      </c>
      <c r="V133" s="119">
        <v>0</v>
      </c>
      <c r="W133" s="119">
        <v>1</v>
      </c>
      <c r="X133" s="120">
        <v>0</v>
      </c>
      <c r="Y133" s="120">
        <v>0</v>
      </c>
      <c r="Z133" s="120">
        <v>0</v>
      </c>
      <c r="AC133" s="119">
        <v>0</v>
      </c>
    </row>
    <row r="134" spans="1:29">
      <c r="A134" s="121" t="s">
        <v>272</v>
      </c>
      <c r="B134" s="121" t="s">
        <v>320</v>
      </c>
      <c r="C134" s="121" t="s">
        <v>272</v>
      </c>
      <c r="D134" s="121" t="s">
        <v>312</v>
      </c>
      <c r="E134" s="121" t="s">
        <v>320</v>
      </c>
      <c r="M134" s="121" t="s">
        <v>321</v>
      </c>
      <c r="N134" s="121" t="s">
        <v>283</v>
      </c>
      <c r="O134" s="118">
        <v>44893</v>
      </c>
      <c r="P134" s="118">
        <v>44897</v>
      </c>
      <c r="Q134" s="118">
        <v>44892</v>
      </c>
      <c r="R134" s="118">
        <v>44898</v>
      </c>
      <c r="S134" s="119">
        <v>49</v>
      </c>
      <c r="T134" s="119">
        <v>10</v>
      </c>
      <c r="U134" s="119">
        <v>5</v>
      </c>
      <c r="V134" s="119">
        <v>0</v>
      </c>
      <c r="W134" s="119">
        <v>1</v>
      </c>
      <c r="X134" s="120">
        <v>0</v>
      </c>
      <c r="Y134" s="120">
        <v>0</v>
      </c>
      <c r="Z134" s="120">
        <v>0</v>
      </c>
      <c r="AC134" s="119">
        <v>0</v>
      </c>
    </row>
    <row r="135" spans="1:29">
      <c r="A135" s="121" t="s">
        <v>272</v>
      </c>
      <c r="B135" s="121" t="s">
        <v>322</v>
      </c>
      <c r="C135" s="121" t="s">
        <v>272</v>
      </c>
      <c r="D135" s="121" t="s">
        <v>312</v>
      </c>
      <c r="E135" s="121" t="s">
        <v>322</v>
      </c>
      <c r="M135" s="121" t="s">
        <v>323</v>
      </c>
      <c r="N135" s="121" t="s">
        <v>247</v>
      </c>
      <c r="O135" s="118">
        <v>44900</v>
      </c>
      <c r="P135" s="118">
        <v>44911</v>
      </c>
      <c r="Q135" s="118">
        <v>44899</v>
      </c>
      <c r="R135" s="118">
        <v>44905</v>
      </c>
      <c r="S135" s="119">
        <v>50</v>
      </c>
      <c r="T135" s="119">
        <v>11</v>
      </c>
      <c r="U135" s="119">
        <v>5</v>
      </c>
      <c r="V135" s="119">
        <v>0</v>
      </c>
      <c r="W135" s="119">
        <v>1</v>
      </c>
      <c r="X135" s="120">
        <v>0</v>
      </c>
      <c r="Y135" s="120">
        <v>0</v>
      </c>
      <c r="Z135" s="120">
        <v>0</v>
      </c>
      <c r="AC135" s="119">
        <v>0</v>
      </c>
    </row>
    <row r="136" spans="1:29">
      <c r="A136" s="121" t="s">
        <v>272</v>
      </c>
      <c r="B136" s="121" t="s">
        <v>322</v>
      </c>
      <c r="C136" s="121" t="s">
        <v>272</v>
      </c>
      <c r="D136" s="121" t="s">
        <v>312</v>
      </c>
      <c r="E136" s="121" t="s">
        <v>322</v>
      </c>
      <c r="M136" s="121" t="s">
        <v>323</v>
      </c>
      <c r="N136" s="121" t="s">
        <v>247</v>
      </c>
      <c r="O136" s="118">
        <v>44900</v>
      </c>
      <c r="P136" s="118">
        <v>44911</v>
      </c>
      <c r="Q136" s="118">
        <v>44906</v>
      </c>
      <c r="R136" s="118">
        <v>44912</v>
      </c>
      <c r="S136" s="119">
        <v>51</v>
      </c>
      <c r="T136" s="119">
        <v>12</v>
      </c>
      <c r="U136" s="119">
        <v>5</v>
      </c>
      <c r="V136" s="119">
        <v>0</v>
      </c>
      <c r="W136" s="119">
        <v>1</v>
      </c>
      <c r="X136" s="120">
        <v>0</v>
      </c>
      <c r="Y136" s="120">
        <v>0</v>
      </c>
      <c r="Z136" s="120">
        <v>0</v>
      </c>
      <c r="AC136" s="119">
        <v>0</v>
      </c>
    </row>
    <row r="137" spans="1:29">
      <c r="A137" s="121" t="s">
        <v>272</v>
      </c>
      <c r="B137" s="121" t="s">
        <v>325</v>
      </c>
      <c r="C137" s="121" t="s">
        <v>272</v>
      </c>
      <c r="D137" s="121" t="s">
        <v>312</v>
      </c>
      <c r="E137" s="121" t="s">
        <v>325</v>
      </c>
      <c r="M137" s="121" t="s">
        <v>326</v>
      </c>
      <c r="N137" s="121" t="s">
        <v>283</v>
      </c>
      <c r="O137" s="118">
        <v>44914</v>
      </c>
      <c r="P137" s="118">
        <v>44925</v>
      </c>
      <c r="Q137" s="118">
        <v>44913</v>
      </c>
      <c r="R137" s="118">
        <v>44919</v>
      </c>
      <c r="S137" s="119">
        <v>52</v>
      </c>
      <c r="T137" s="119">
        <v>13</v>
      </c>
      <c r="U137" s="119">
        <v>5</v>
      </c>
      <c r="V137" s="119">
        <v>0</v>
      </c>
      <c r="W137" s="119">
        <v>1</v>
      </c>
      <c r="X137" s="120">
        <v>0</v>
      </c>
      <c r="Y137" s="120">
        <v>0</v>
      </c>
      <c r="Z137" s="120">
        <v>0</v>
      </c>
      <c r="AC137" s="119">
        <v>0</v>
      </c>
    </row>
    <row r="138" spans="1:29">
      <c r="A138" s="121" t="s">
        <v>272</v>
      </c>
      <c r="B138" s="121" t="s">
        <v>325</v>
      </c>
      <c r="C138" s="121" t="s">
        <v>272</v>
      </c>
      <c r="D138" s="121" t="s">
        <v>312</v>
      </c>
      <c r="E138" s="121" t="s">
        <v>325</v>
      </c>
      <c r="M138" s="121" t="s">
        <v>326</v>
      </c>
      <c r="N138" s="121" t="s">
        <v>283</v>
      </c>
      <c r="O138" s="118">
        <v>44914</v>
      </c>
      <c r="P138" s="118">
        <v>44925</v>
      </c>
      <c r="Q138" s="118">
        <v>44920</v>
      </c>
      <c r="R138" s="118">
        <v>44926</v>
      </c>
      <c r="S138" s="119">
        <v>53</v>
      </c>
      <c r="T138" s="119">
        <v>14</v>
      </c>
      <c r="U138" s="119">
        <v>5</v>
      </c>
      <c r="V138" s="119">
        <v>0</v>
      </c>
      <c r="W138" s="119">
        <v>1</v>
      </c>
      <c r="X138" s="120">
        <v>0</v>
      </c>
      <c r="Y138" s="120">
        <v>0</v>
      </c>
      <c r="Z138" s="120">
        <v>0</v>
      </c>
      <c r="AC138" s="119">
        <v>0</v>
      </c>
    </row>
    <row r="139" spans="1:29">
      <c r="A139" s="121" t="s">
        <v>272</v>
      </c>
      <c r="B139" s="121" t="s">
        <v>327</v>
      </c>
      <c r="C139" s="121" t="s">
        <v>272</v>
      </c>
      <c r="D139" s="121" t="s">
        <v>312</v>
      </c>
      <c r="E139" s="121" t="s">
        <v>327</v>
      </c>
      <c r="M139" s="121" t="s">
        <v>328</v>
      </c>
      <c r="N139" s="121" t="s">
        <v>283</v>
      </c>
      <c r="O139" s="118">
        <v>44928</v>
      </c>
      <c r="P139" s="118">
        <v>44939</v>
      </c>
      <c r="Q139" s="118">
        <v>44927</v>
      </c>
      <c r="R139" s="118">
        <v>44933</v>
      </c>
      <c r="S139" s="119">
        <v>1</v>
      </c>
      <c r="T139" s="119">
        <v>15</v>
      </c>
      <c r="U139" s="119">
        <v>5</v>
      </c>
      <c r="V139" s="119">
        <v>0</v>
      </c>
      <c r="W139" s="119">
        <v>1</v>
      </c>
      <c r="X139" s="120">
        <v>0</v>
      </c>
      <c r="Y139" s="120">
        <v>0</v>
      </c>
      <c r="Z139" s="120">
        <v>0</v>
      </c>
      <c r="AC139" s="119">
        <v>0</v>
      </c>
    </row>
    <row r="140" spans="1:29">
      <c r="A140" s="121" t="s">
        <v>272</v>
      </c>
      <c r="B140" s="121" t="s">
        <v>327</v>
      </c>
      <c r="C140" s="121" t="s">
        <v>272</v>
      </c>
      <c r="D140" s="121" t="s">
        <v>312</v>
      </c>
      <c r="E140" s="121" t="s">
        <v>327</v>
      </c>
      <c r="M140" s="121" t="s">
        <v>328</v>
      </c>
      <c r="N140" s="121" t="s">
        <v>283</v>
      </c>
      <c r="O140" s="118">
        <v>44928</v>
      </c>
      <c r="P140" s="118">
        <v>44939</v>
      </c>
      <c r="Q140" s="118">
        <v>44934</v>
      </c>
      <c r="R140" s="118">
        <v>44940</v>
      </c>
      <c r="S140" s="119">
        <v>2</v>
      </c>
      <c r="T140" s="119">
        <v>16</v>
      </c>
      <c r="U140" s="119">
        <v>5</v>
      </c>
      <c r="V140" s="119">
        <v>0</v>
      </c>
      <c r="W140" s="119">
        <v>1</v>
      </c>
      <c r="X140" s="120">
        <v>0</v>
      </c>
      <c r="Y140" s="120">
        <v>0</v>
      </c>
      <c r="Z140" s="120">
        <v>0</v>
      </c>
      <c r="AC140" s="119">
        <v>0</v>
      </c>
    </row>
    <row r="141" spans="1:29">
      <c r="A141" s="121" t="s">
        <v>272</v>
      </c>
      <c r="B141" s="121" t="s">
        <v>333</v>
      </c>
      <c r="C141" s="121" t="s">
        <v>272</v>
      </c>
      <c r="D141" s="121" t="s">
        <v>330</v>
      </c>
      <c r="E141" s="121" t="s">
        <v>333</v>
      </c>
      <c r="M141" s="121" t="s">
        <v>334</v>
      </c>
      <c r="N141" s="121" t="s">
        <v>332</v>
      </c>
      <c r="O141" s="118">
        <v>44893</v>
      </c>
      <c r="P141" s="118">
        <v>44904</v>
      </c>
      <c r="Q141" s="118">
        <v>44892</v>
      </c>
      <c r="R141" s="118">
        <v>44898</v>
      </c>
      <c r="S141" s="119">
        <v>49</v>
      </c>
      <c r="T141" s="119">
        <v>10</v>
      </c>
      <c r="U141" s="119">
        <v>5</v>
      </c>
      <c r="V141" s="119">
        <v>0</v>
      </c>
      <c r="W141" s="119">
        <v>1</v>
      </c>
      <c r="X141" s="120">
        <v>0</v>
      </c>
      <c r="Y141" s="120">
        <v>0</v>
      </c>
      <c r="Z141" s="120">
        <v>0</v>
      </c>
      <c r="AC141" s="119">
        <v>0</v>
      </c>
    </row>
    <row r="142" spans="1:29">
      <c r="A142" s="121" t="s">
        <v>272</v>
      </c>
      <c r="B142" s="121" t="s">
        <v>333</v>
      </c>
      <c r="C142" s="121" t="s">
        <v>272</v>
      </c>
      <c r="D142" s="121" t="s">
        <v>330</v>
      </c>
      <c r="E142" s="121" t="s">
        <v>333</v>
      </c>
      <c r="M142" s="121" t="s">
        <v>334</v>
      </c>
      <c r="N142" s="121" t="s">
        <v>332</v>
      </c>
      <c r="O142" s="118">
        <v>44893</v>
      </c>
      <c r="P142" s="118">
        <v>44904</v>
      </c>
      <c r="Q142" s="118">
        <v>44899</v>
      </c>
      <c r="R142" s="118">
        <v>44905</v>
      </c>
      <c r="S142" s="119">
        <v>50</v>
      </c>
      <c r="T142" s="119">
        <v>11</v>
      </c>
      <c r="U142" s="119">
        <v>5</v>
      </c>
      <c r="V142" s="119">
        <v>0</v>
      </c>
      <c r="W142" s="119">
        <v>1</v>
      </c>
      <c r="X142" s="120">
        <v>0</v>
      </c>
      <c r="Y142" s="120">
        <v>0</v>
      </c>
      <c r="Z142" s="120">
        <v>0</v>
      </c>
      <c r="AC142" s="119">
        <v>0</v>
      </c>
    </row>
    <row r="143" spans="1:29">
      <c r="A143" s="121" t="s">
        <v>272</v>
      </c>
      <c r="B143" s="121" t="s">
        <v>335</v>
      </c>
      <c r="C143" s="121" t="s">
        <v>272</v>
      </c>
      <c r="D143" s="121" t="s">
        <v>330</v>
      </c>
      <c r="E143" s="121" t="s">
        <v>335</v>
      </c>
      <c r="M143" s="121" t="s">
        <v>336</v>
      </c>
      <c r="N143" s="121" t="s">
        <v>332</v>
      </c>
      <c r="O143" s="118">
        <v>44900</v>
      </c>
      <c r="P143" s="118">
        <v>44904</v>
      </c>
      <c r="Q143" s="118">
        <v>44899</v>
      </c>
      <c r="R143" s="118">
        <v>44905</v>
      </c>
      <c r="S143" s="119">
        <v>50</v>
      </c>
      <c r="T143" s="119">
        <v>11</v>
      </c>
      <c r="U143" s="119">
        <v>5</v>
      </c>
      <c r="V143" s="119">
        <v>0</v>
      </c>
      <c r="W143" s="119">
        <v>1</v>
      </c>
      <c r="X143" s="120">
        <v>0</v>
      </c>
      <c r="Y143" s="120">
        <v>0</v>
      </c>
      <c r="Z143" s="120">
        <v>0</v>
      </c>
      <c r="AC143" s="119">
        <v>0</v>
      </c>
    </row>
    <row r="144" spans="1:29">
      <c r="A144" s="121" t="s">
        <v>272</v>
      </c>
      <c r="B144" s="121" t="s">
        <v>337</v>
      </c>
      <c r="C144" s="121" t="s">
        <v>272</v>
      </c>
      <c r="D144" s="121" t="s">
        <v>330</v>
      </c>
      <c r="E144" s="121" t="s">
        <v>337</v>
      </c>
      <c r="M144" s="121" t="s">
        <v>331</v>
      </c>
      <c r="N144" s="121" t="s">
        <v>332</v>
      </c>
      <c r="O144" s="118">
        <v>44907</v>
      </c>
      <c r="P144" s="118">
        <v>44918</v>
      </c>
      <c r="Q144" s="118">
        <v>44906</v>
      </c>
      <c r="R144" s="118">
        <v>44912</v>
      </c>
      <c r="S144" s="119">
        <v>51</v>
      </c>
      <c r="T144" s="119">
        <v>12</v>
      </c>
      <c r="U144" s="119">
        <v>5</v>
      </c>
      <c r="V144" s="119">
        <v>0</v>
      </c>
      <c r="W144" s="119">
        <v>1</v>
      </c>
      <c r="X144" s="120">
        <v>0</v>
      </c>
      <c r="Y144" s="120">
        <v>0</v>
      </c>
      <c r="Z144" s="120">
        <v>0</v>
      </c>
      <c r="AC144" s="119">
        <v>0</v>
      </c>
    </row>
    <row r="145" spans="1:29">
      <c r="A145" s="121" t="s">
        <v>272</v>
      </c>
      <c r="B145" s="121" t="s">
        <v>337</v>
      </c>
      <c r="C145" s="121" t="s">
        <v>272</v>
      </c>
      <c r="D145" s="121" t="s">
        <v>330</v>
      </c>
      <c r="E145" s="121" t="s">
        <v>337</v>
      </c>
      <c r="M145" s="121" t="s">
        <v>331</v>
      </c>
      <c r="N145" s="121" t="s">
        <v>332</v>
      </c>
      <c r="O145" s="118">
        <v>44907</v>
      </c>
      <c r="P145" s="118">
        <v>44918</v>
      </c>
      <c r="Q145" s="118">
        <v>44913</v>
      </c>
      <c r="R145" s="118">
        <v>44919</v>
      </c>
      <c r="S145" s="119">
        <v>52</v>
      </c>
      <c r="T145" s="119">
        <v>13</v>
      </c>
      <c r="U145" s="119">
        <v>5</v>
      </c>
      <c r="V145" s="119">
        <v>0</v>
      </c>
      <c r="W145" s="119">
        <v>1</v>
      </c>
      <c r="X145" s="120">
        <v>0</v>
      </c>
      <c r="Y145" s="120">
        <v>0</v>
      </c>
      <c r="Z145" s="120">
        <v>0</v>
      </c>
      <c r="AC145" s="119">
        <v>0</v>
      </c>
    </row>
    <row r="146" spans="1:29">
      <c r="A146" s="121" t="s">
        <v>272</v>
      </c>
      <c r="B146" s="121" t="s">
        <v>339</v>
      </c>
      <c r="C146" s="121" t="s">
        <v>272</v>
      </c>
      <c r="D146" s="121" t="s">
        <v>330</v>
      </c>
      <c r="E146" s="121" t="s">
        <v>339</v>
      </c>
      <c r="M146" s="121" t="s">
        <v>340</v>
      </c>
      <c r="N146" s="121" t="s">
        <v>332</v>
      </c>
      <c r="O146" s="118">
        <v>44921</v>
      </c>
      <c r="P146" s="118">
        <v>44932</v>
      </c>
      <c r="Q146" s="118">
        <v>44920</v>
      </c>
      <c r="R146" s="118">
        <v>44926</v>
      </c>
      <c r="S146" s="119">
        <v>53</v>
      </c>
      <c r="T146" s="119">
        <v>14</v>
      </c>
      <c r="U146" s="119">
        <v>5</v>
      </c>
      <c r="V146" s="119">
        <v>0</v>
      </c>
      <c r="W146" s="119">
        <v>1</v>
      </c>
      <c r="X146" s="120">
        <v>0</v>
      </c>
      <c r="Y146" s="120">
        <v>0</v>
      </c>
      <c r="Z146" s="120">
        <v>0</v>
      </c>
      <c r="AC146" s="119">
        <v>0</v>
      </c>
    </row>
    <row r="147" spans="1:29">
      <c r="A147" s="121" t="s">
        <v>272</v>
      </c>
      <c r="B147" s="121" t="s">
        <v>339</v>
      </c>
      <c r="C147" s="121" t="s">
        <v>272</v>
      </c>
      <c r="D147" s="121" t="s">
        <v>330</v>
      </c>
      <c r="E147" s="121" t="s">
        <v>339</v>
      </c>
      <c r="M147" s="121" t="s">
        <v>340</v>
      </c>
      <c r="N147" s="121" t="s">
        <v>332</v>
      </c>
      <c r="O147" s="118">
        <v>44921</v>
      </c>
      <c r="P147" s="118">
        <v>44932</v>
      </c>
      <c r="Q147" s="118">
        <v>44927</v>
      </c>
      <c r="R147" s="118">
        <v>44933</v>
      </c>
      <c r="S147" s="119">
        <v>1</v>
      </c>
      <c r="T147" s="119">
        <v>15</v>
      </c>
      <c r="U147" s="119">
        <v>5</v>
      </c>
      <c r="V147" s="119">
        <v>0</v>
      </c>
      <c r="W147" s="119">
        <v>1</v>
      </c>
      <c r="X147" s="120">
        <v>0</v>
      </c>
      <c r="Y147" s="120">
        <v>0</v>
      </c>
      <c r="Z147" s="120">
        <v>0</v>
      </c>
      <c r="AC147" s="119">
        <v>0</v>
      </c>
    </row>
    <row r="148" spans="1:29">
      <c r="A148" s="121" t="s">
        <v>272</v>
      </c>
      <c r="B148" s="121" t="s">
        <v>344</v>
      </c>
      <c r="C148" s="121" t="s">
        <v>272</v>
      </c>
      <c r="D148" s="121" t="s">
        <v>342</v>
      </c>
      <c r="E148" s="121" t="s">
        <v>344</v>
      </c>
      <c r="M148" s="121" t="s">
        <v>345</v>
      </c>
      <c r="N148" s="121" t="s">
        <v>332</v>
      </c>
      <c r="O148" s="118">
        <v>44935</v>
      </c>
      <c r="P148" s="118">
        <v>44946</v>
      </c>
      <c r="Q148" s="118">
        <v>44934</v>
      </c>
      <c r="R148" s="118">
        <v>44940</v>
      </c>
      <c r="S148" s="119">
        <v>2</v>
      </c>
      <c r="T148" s="119">
        <v>16</v>
      </c>
      <c r="U148" s="119">
        <v>5</v>
      </c>
      <c r="V148" s="119">
        <v>0</v>
      </c>
      <c r="W148" s="119">
        <v>1</v>
      </c>
      <c r="X148" s="120">
        <v>0</v>
      </c>
      <c r="Y148" s="120">
        <v>0</v>
      </c>
      <c r="Z148" s="120">
        <v>0</v>
      </c>
      <c r="AC148" s="119">
        <v>0</v>
      </c>
    </row>
    <row r="149" spans="1:29">
      <c r="A149" s="121" t="s">
        <v>272</v>
      </c>
      <c r="B149" s="121" t="s">
        <v>344</v>
      </c>
      <c r="C149" s="121" t="s">
        <v>272</v>
      </c>
      <c r="D149" s="121" t="s">
        <v>342</v>
      </c>
      <c r="E149" s="121" t="s">
        <v>344</v>
      </c>
      <c r="M149" s="121" t="s">
        <v>345</v>
      </c>
      <c r="N149" s="121" t="s">
        <v>332</v>
      </c>
      <c r="O149" s="118">
        <v>44935</v>
      </c>
      <c r="P149" s="118">
        <v>44946</v>
      </c>
      <c r="Q149" s="118">
        <v>44941</v>
      </c>
      <c r="R149" s="118">
        <v>44947</v>
      </c>
      <c r="S149" s="119">
        <v>3</v>
      </c>
      <c r="T149" s="119">
        <v>17</v>
      </c>
      <c r="U149" s="119">
        <v>5</v>
      </c>
      <c r="V149" s="119">
        <v>0</v>
      </c>
      <c r="W149" s="119">
        <v>1</v>
      </c>
      <c r="X149" s="120">
        <v>0</v>
      </c>
      <c r="Y149" s="120">
        <v>0</v>
      </c>
      <c r="Z149" s="120">
        <v>0</v>
      </c>
      <c r="AC149" s="119">
        <v>0</v>
      </c>
    </row>
    <row r="150" spans="1:29">
      <c r="A150" s="121" t="s">
        <v>272</v>
      </c>
      <c r="B150" s="121" t="s">
        <v>346</v>
      </c>
      <c r="C150" s="121" t="s">
        <v>272</v>
      </c>
      <c r="D150" s="121" t="s">
        <v>342</v>
      </c>
      <c r="E150" s="121" t="s">
        <v>346</v>
      </c>
      <c r="M150" s="121" t="s">
        <v>347</v>
      </c>
      <c r="N150" s="121" t="s">
        <v>332</v>
      </c>
      <c r="O150" s="118">
        <v>44951</v>
      </c>
      <c r="P150" s="118">
        <v>44974</v>
      </c>
      <c r="Q150" s="118">
        <v>44948</v>
      </c>
      <c r="R150" s="118">
        <v>44954</v>
      </c>
      <c r="S150" s="119">
        <v>4</v>
      </c>
      <c r="T150" s="119">
        <v>18</v>
      </c>
      <c r="U150" s="119">
        <v>3</v>
      </c>
      <c r="V150" s="119">
        <v>0</v>
      </c>
      <c r="W150" s="119">
        <v>1</v>
      </c>
      <c r="X150" s="120">
        <v>0</v>
      </c>
      <c r="Y150" s="120">
        <v>0</v>
      </c>
      <c r="Z150" s="120">
        <v>0</v>
      </c>
      <c r="AC150" s="119">
        <v>0</v>
      </c>
    </row>
    <row r="151" spans="1:29">
      <c r="A151" s="121" t="s">
        <v>272</v>
      </c>
      <c r="B151" s="121" t="s">
        <v>346</v>
      </c>
      <c r="C151" s="121" t="s">
        <v>272</v>
      </c>
      <c r="D151" s="121" t="s">
        <v>342</v>
      </c>
      <c r="E151" s="121" t="s">
        <v>346</v>
      </c>
      <c r="M151" s="121" t="s">
        <v>347</v>
      </c>
      <c r="N151" s="121" t="s">
        <v>332</v>
      </c>
      <c r="O151" s="118">
        <v>44951</v>
      </c>
      <c r="P151" s="118">
        <v>44974</v>
      </c>
      <c r="Q151" s="118">
        <v>44955</v>
      </c>
      <c r="R151" s="118">
        <v>44961</v>
      </c>
      <c r="S151" s="119">
        <v>5</v>
      </c>
      <c r="T151" s="119">
        <v>19</v>
      </c>
      <c r="U151" s="119">
        <v>5</v>
      </c>
      <c r="V151" s="119">
        <v>0</v>
      </c>
      <c r="W151" s="119">
        <v>1</v>
      </c>
      <c r="X151" s="120">
        <v>0</v>
      </c>
      <c r="Y151" s="120">
        <v>0</v>
      </c>
      <c r="Z151" s="120">
        <v>0</v>
      </c>
      <c r="AC151" s="119">
        <v>0</v>
      </c>
    </row>
    <row r="152" spans="1:29">
      <c r="A152" s="121" t="s">
        <v>272</v>
      </c>
      <c r="B152" s="121" t="s">
        <v>346</v>
      </c>
      <c r="C152" s="121" t="s">
        <v>272</v>
      </c>
      <c r="D152" s="121" t="s">
        <v>342</v>
      </c>
      <c r="E152" s="121" t="s">
        <v>346</v>
      </c>
      <c r="M152" s="121" t="s">
        <v>347</v>
      </c>
      <c r="N152" s="121" t="s">
        <v>332</v>
      </c>
      <c r="O152" s="118">
        <v>44951</v>
      </c>
      <c r="P152" s="118">
        <v>44974</v>
      </c>
      <c r="Q152" s="118">
        <v>44962</v>
      </c>
      <c r="R152" s="118">
        <v>44968</v>
      </c>
      <c r="S152" s="119">
        <v>6</v>
      </c>
      <c r="T152" s="119">
        <v>20</v>
      </c>
      <c r="U152" s="119">
        <v>5</v>
      </c>
      <c r="V152" s="119">
        <v>0</v>
      </c>
      <c r="W152" s="119">
        <v>1</v>
      </c>
      <c r="X152" s="120">
        <v>0</v>
      </c>
      <c r="Y152" s="120">
        <v>0</v>
      </c>
      <c r="Z152" s="120">
        <v>0</v>
      </c>
      <c r="AC152" s="119">
        <v>0</v>
      </c>
    </row>
    <row r="153" spans="1:29">
      <c r="A153" s="121" t="s">
        <v>272</v>
      </c>
      <c r="B153" s="121" t="s">
        <v>346</v>
      </c>
      <c r="C153" s="121" t="s">
        <v>272</v>
      </c>
      <c r="D153" s="121" t="s">
        <v>342</v>
      </c>
      <c r="E153" s="121" t="s">
        <v>346</v>
      </c>
      <c r="M153" s="121" t="s">
        <v>347</v>
      </c>
      <c r="N153" s="121" t="s">
        <v>332</v>
      </c>
      <c r="O153" s="118">
        <v>44951</v>
      </c>
      <c r="P153" s="118">
        <v>44974</v>
      </c>
      <c r="Q153" s="118">
        <v>44969</v>
      </c>
      <c r="R153" s="118">
        <v>44975</v>
      </c>
      <c r="S153" s="119">
        <v>7</v>
      </c>
      <c r="T153" s="119">
        <v>21</v>
      </c>
      <c r="U153" s="119">
        <v>5</v>
      </c>
      <c r="V153" s="119">
        <v>0</v>
      </c>
      <c r="W153" s="119">
        <v>1</v>
      </c>
      <c r="X153" s="120">
        <v>0</v>
      </c>
      <c r="Y153" s="120">
        <v>0</v>
      </c>
      <c r="Z153" s="120">
        <v>0</v>
      </c>
      <c r="AC153" s="119">
        <v>0</v>
      </c>
    </row>
    <row r="154" spans="1:29">
      <c r="A154" s="121" t="s">
        <v>272</v>
      </c>
      <c r="B154" s="121" t="s">
        <v>356</v>
      </c>
      <c r="C154" s="121" t="s">
        <v>349</v>
      </c>
      <c r="D154" s="121" t="s">
        <v>353</v>
      </c>
      <c r="E154" s="121" t="s">
        <v>356</v>
      </c>
      <c r="M154" s="121" t="s">
        <v>357</v>
      </c>
      <c r="N154" s="121" t="s">
        <v>358</v>
      </c>
      <c r="O154" s="118">
        <v>44838</v>
      </c>
      <c r="P154" s="118">
        <v>44855</v>
      </c>
      <c r="Q154" s="118">
        <v>44836</v>
      </c>
      <c r="R154" s="118">
        <v>44842</v>
      </c>
      <c r="S154" s="119">
        <v>41</v>
      </c>
      <c r="T154" s="119">
        <v>2</v>
      </c>
      <c r="U154" s="119">
        <v>4</v>
      </c>
      <c r="V154" s="119">
        <v>1</v>
      </c>
      <c r="W154" s="119">
        <v>1</v>
      </c>
      <c r="X154" s="120">
        <v>0</v>
      </c>
      <c r="Y154" s="120">
        <v>7.6923076923076927E-2</v>
      </c>
      <c r="Z154" s="120">
        <v>0</v>
      </c>
      <c r="AC154" s="119">
        <v>0</v>
      </c>
    </row>
    <row r="155" spans="1:29">
      <c r="A155" s="121" t="s">
        <v>272</v>
      </c>
      <c r="B155" s="121" t="s">
        <v>356</v>
      </c>
      <c r="C155" s="121" t="s">
        <v>349</v>
      </c>
      <c r="D155" s="121" t="s">
        <v>353</v>
      </c>
      <c r="E155" s="121" t="s">
        <v>356</v>
      </c>
      <c r="M155" s="121" t="s">
        <v>357</v>
      </c>
      <c r="N155" s="121" t="s">
        <v>358</v>
      </c>
      <c r="O155" s="118">
        <v>44838</v>
      </c>
      <c r="P155" s="118">
        <v>44855</v>
      </c>
      <c r="Q155" s="118">
        <v>44843</v>
      </c>
      <c r="R155" s="118">
        <v>44849</v>
      </c>
      <c r="S155" s="119">
        <v>42</v>
      </c>
      <c r="T155" s="119">
        <v>3</v>
      </c>
      <c r="U155" s="119">
        <v>4</v>
      </c>
      <c r="V155" s="119">
        <v>0</v>
      </c>
      <c r="W155" s="119">
        <v>1</v>
      </c>
      <c r="X155" s="120">
        <v>0</v>
      </c>
      <c r="Y155" s="120">
        <v>7.6923076923076927E-2</v>
      </c>
      <c r="Z155" s="120">
        <v>0</v>
      </c>
      <c r="AC155" s="119">
        <v>0</v>
      </c>
    </row>
    <row r="156" spans="1:29">
      <c r="A156" s="121" t="s">
        <v>272</v>
      </c>
      <c r="B156" s="121" t="s">
        <v>356</v>
      </c>
      <c r="C156" s="121" t="s">
        <v>349</v>
      </c>
      <c r="D156" s="121" t="s">
        <v>353</v>
      </c>
      <c r="E156" s="121" t="s">
        <v>356</v>
      </c>
      <c r="M156" s="121" t="s">
        <v>357</v>
      </c>
      <c r="N156" s="121" t="s">
        <v>358</v>
      </c>
      <c r="O156" s="118">
        <v>44838</v>
      </c>
      <c r="P156" s="118">
        <v>44855</v>
      </c>
      <c r="Q156" s="118">
        <v>44850</v>
      </c>
      <c r="R156" s="118">
        <v>44856</v>
      </c>
      <c r="S156" s="119">
        <v>43</v>
      </c>
      <c r="T156" s="119">
        <v>4</v>
      </c>
      <c r="U156" s="119">
        <v>5</v>
      </c>
      <c r="V156" s="119">
        <v>0</v>
      </c>
      <c r="W156" s="119">
        <v>1</v>
      </c>
      <c r="X156" s="120">
        <v>0</v>
      </c>
      <c r="Y156" s="120">
        <v>7.6923076923076927E-2</v>
      </c>
      <c r="Z156" s="120">
        <v>0</v>
      </c>
      <c r="AC156" s="119">
        <v>0</v>
      </c>
    </row>
    <row r="157" spans="1:29">
      <c r="A157" s="121" t="s">
        <v>272</v>
      </c>
      <c r="B157" s="121" t="s">
        <v>360</v>
      </c>
      <c r="C157" s="121" t="s">
        <v>349</v>
      </c>
      <c r="D157" s="121" t="s">
        <v>353</v>
      </c>
      <c r="E157" s="121" t="s">
        <v>360</v>
      </c>
      <c r="M157" s="121" t="s">
        <v>361</v>
      </c>
      <c r="N157" s="121" t="s">
        <v>283</v>
      </c>
      <c r="O157" s="118">
        <v>44858</v>
      </c>
      <c r="P157" s="118">
        <v>44981</v>
      </c>
      <c r="Q157" s="118">
        <v>44857</v>
      </c>
      <c r="R157" s="118">
        <v>44863</v>
      </c>
      <c r="S157" s="119">
        <v>44</v>
      </c>
      <c r="T157" s="119">
        <v>5</v>
      </c>
      <c r="U157" s="119">
        <v>5</v>
      </c>
      <c r="V157" s="119">
        <v>0</v>
      </c>
      <c r="W157" s="119">
        <v>1</v>
      </c>
      <c r="X157" s="120">
        <v>0</v>
      </c>
      <c r="Y157" s="120">
        <v>0</v>
      </c>
      <c r="Z157" s="120">
        <v>0</v>
      </c>
      <c r="AC157" s="119">
        <v>0</v>
      </c>
    </row>
    <row r="158" spans="1:29">
      <c r="A158" s="121" t="s">
        <v>272</v>
      </c>
      <c r="B158" s="121" t="s">
        <v>360</v>
      </c>
      <c r="C158" s="121" t="s">
        <v>349</v>
      </c>
      <c r="D158" s="121" t="s">
        <v>353</v>
      </c>
      <c r="E158" s="121" t="s">
        <v>360</v>
      </c>
      <c r="M158" s="121" t="s">
        <v>361</v>
      </c>
      <c r="N158" s="121" t="s">
        <v>283</v>
      </c>
      <c r="O158" s="118">
        <v>44858</v>
      </c>
      <c r="P158" s="118">
        <v>44981</v>
      </c>
      <c r="Q158" s="118">
        <v>44864</v>
      </c>
      <c r="R158" s="118">
        <v>44870</v>
      </c>
      <c r="S158" s="119">
        <v>45</v>
      </c>
      <c r="T158" s="119">
        <v>6</v>
      </c>
      <c r="U158" s="119">
        <v>5</v>
      </c>
      <c r="V158" s="119">
        <v>0</v>
      </c>
      <c r="W158" s="119">
        <v>1</v>
      </c>
      <c r="X158" s="120">
        <v>0</v>
      </c>
      <c r="Y158" s="120">
        <v>0</v>
      </c>
      <c r="Z158" s="120">
        <v>0</v>
      </c>
      <c r="AC158" s="119">
        <v>0</v>
      </c>
    </row>
    <row r="159" spans="1:29">
      <c r="A159" s="121" t="s">
        <v>272</v>
      </c>
      <c r="B159" s="121" t="s">
        <v>360</v>
      </c>
      <c r="C159" s="121" t="s">
        <v>349</v>
      </c>
      <c r="D159" s="121" t="s">
        <v>353</v>
      </c>
      <c r="E159" s="121" t="s">
        <v>360</v>
      </c>
      <c r="M159" s="121" t="s">
        <v>361</v>
      </c>
      <c r="N159" s="121" t="s">
        <v>283</v>
      </c>
      <c r="O159" s="118">
        <v>44858</v>
      </c>
      <c r="P159" s="118">
        <v>44981</v>
      </c>
      <c r="Q159" s="118">
        <v>44871</v>
      </c>
      <c r="R159" s="118">
        <v>44877</v>
      </c>
      <c r="S159" s="119">
        <v>46</v>
      </c>
      <c r="T159" s="119">
        <v>7</v>
      </c>
      <c r="U159" s="119">
        <v>5</v>
      </c>
      <c r="V159" s="119">
        <v>0</v>
      </c>
      <c r="W159" s="119">
        <v>1</v>
      </c>
      <c r="X159" s="120">
        <v>0</v>
      </c>
      <c r="Y159" s="120">
        <v>0</v>
      </c>
      <c r="Z159" s="120">
        <v>0</v>
      </c>
      <c r="AC159" s="119">
        <v>0</v>
      </c>
    </row>
    <row r="160" spans="1:29">
      <c r="A160" s="121" t="s">
        <v>272</v>
      </c>
      <c r="B160" s="121" t="s">
        <v>360</v>
      </c>
      <c r="C160" s="121" t="s">
        <v>349</v>
      </c>
      <c r="D160" s="121" t="s">
        <v>353</v>
      </c>
      <c r="E160" s="121" t="s">
        <v>360</v>
      </c>
      <c r="M160" s="121" t="s">
        <v>361</v>
      </c>
      <c r="N160" s="121" t="s">
        <v>283</v>
      </c>
      <c r="O160" s="118">
        <v>44858</v>
      </c>
      <c r="P160" s="118">
        <v>44981</v>
      </c>
      <c r="Q160" s="118">
        <v>44878</v>
      </c>
      <c r="R160" s="118">
        <v>44884</v>
      </c>
      <c r="S160" s="119">
        <v>47</v>
      </c>
      <c r="T160" s="119">
        <v>8</v>
      </c>
      <c r="U160" s="119">
        <v>5</v>
      </c>
      <c r="V160" s="119">
        <v>0</v>
      </c>
      <c r="W160" s="119">
        <v>1</v>
      </c>
      <c r="X160" s="120">
        <v>0</v>
      </c>
      <c r="Y160" s="120">
        <v>0</v>
      </c>
      <c r="Z160" s="120">
        <v>0</v>
      </c>
      <c r="AC160" s="119">
        <v>0</v>
      </c>
    </row>
    <row r="161" spans="1:29">
      <c r="A161" s="121" t="s">
        <v>272</v>
      </c>
      <c r="B161" s="121" t="s">
        <v>360</v>
      </c>
      <c r="C161" s="121" t="s">
        <v>349</v>
      </c>
      <c r="D161" s="121" t="s">
        <v>353</v>
      </c>
      <c r="E161" s="121" t="s">
        <v>360</v>
      </c>
      <c r="M161" s="121" t="s">
        <v>361</v>
      </c>
      <c r="N161" s="121" t="s">
        <v>283</v>
      </c>
      <c r="O161" s="118">
        <v>44858</v>
      </c>
      <c r="P161" s="118">
        <v>44981</v>
      </c>
      <c r="Q161" s="118">
        <v>44885</v>
      </c>
      <c r="R161" s="118">
        <v>44891</v>
      </c>
      <c r="S161" s="119">
        <v>48</v>
      </c>
      <c r="T161" s="119">
        <v>9</v>
      </c>
      <c r="U161" s="119">
        <v>5</v>
      </c>
      <c r="V161" s="119">
        <v>0</v>
      </c>
      <c r="W161" s="119">
        <v>1</v>
      </c>
      <c r="X161" s="120">
        <v>0</v>
      </c>
      <c r="Y161" s="120">
        <v>0</v>
      </c>
      <c r="Z161" s="120">
        <v>0</v>
      </c>
      <c r="AC161" s="119">
        <v>0</v>
      </c>
    </row>
    <row r="162" spans="1:29">
      <c r="A162" s="121" t="s">
        <v>272</v>
      </c>
      <c r="B162" s="121" t="s">
        <v>360</v>
      </c>
      <c r="C162" s="121" t="s">
        <v>349</v>
      </c>
      <c r="D162" s="121" t="s">
        <v>353</v>
      </c>
      <c r="E162" s="121" t="s">
        <v>360</v>
      </c>
      <c r="M162" s="121" t="s">
        <v>361</v>
      </c>
      <c r="N162" s="121" t="s">
        <v>283</v>
      </c>
      <c r="O162" s="118">
        <v>44858</v>
      </c>
      <c r="P162" s="118">
        <v>44981</v>
      </c>
      <c r="Q162" s="118">
        <v>44892</v>
      </c>
      <c r="R162" s="118">
        <v>44898</v>
      </c>
      <c r="S162" s="119">
        <v>49</v>
      </c>
      <c r="T162" s="119">
        <v>10</v>
      </c>
      <c r="U162" s="119">
        <v>5</v>
      </c>
      <c r="V162" s="119">
        <v>0</v>
      </c>
      <c r="W162" s="119">
        <v>1</v>
      </c>
      <c r="X162" s="120">
        <v>0</v>
      </c>
      <c r="Y162" s="120">
        <v>0</v>
      </c>
      <c r="Z162" s="120">
        <v>0</v>
      </c>
      <c r="AC162" s="119">
        <v>0</v>
      </c>
    </row>
    <row r="163" spans="1:29">
      <c r="A163" s="121" t="s">
        <v>272</v>
      </c>
      <c r="B163" s="121" t="s">
        <v>360</v>
      </c>
      <c r="C163" s="121" t="s">
        <v>349</v>
      </c>
      <c r="D163" s="121" t="s">
        <v>353</v>
      </c>
      <c r="E163" s="121" t="s">
        <v>360</v>
      </c>
      <c r="M163" s="121" t="s">
        <v>361</v>
      </c>
      <c r="N163" s="121" t="s">
        <v>283</v>
      </c>
      <c r="O163" s="118">
        <v>44858</v>
      </c>
      <c r="P163" s="118">
        <v>44981</v>
      </c>
      <c r="Q163" s="118">
        <v>44899</v>
      </c>
      <c r="R163" s="118">
        <v>44905</v>
      </c>
      <c r="S163" s="119">
        <v>50</v>
      </c>
      <c r="T163" s="119">
        <v>11</v>
      </c>
      <c r="U163" s="119">
        <v>5</v>
      </c>
      <c r="V163" s="119">
        <v>0</v>
      </c>
      <c r="W163" s="119">
        <v>1</v>
      </c>
      <c r="X163" s="120">
        <v>0</v>
      </c>
      <c r="Y163" s="120">
        <v>0</v>
      </c>
      <c r="Z163" s="120">
        <v>0</v>
      </c>
      <c r="AC163" s="119">
        <v>0</v>
      </c>
    </row>
    <row r="164" spans="1:29">
      <c r="A164" s="121" t="s">
        <v>272</v>
      </c>
      <c r="B164" s="121" t="s">
        <v>360</v>
      </c>
      <c r="C164" s="121" t="s">
        <v>349</v>
      </c>
      <c r="D164" s="121" t="s">
        <v>353</v>
      </c>
      <c r="E164" s="121" t="s">
        <v>360</v>
      </c>
      <c r="M164" s="121" t="s">
        <v>361</v>
      </c>
      <c r="N164" s="121" t="s">
        <v>283</v>
      </c>
      <c r="O164" s="118">
        <v>44858</v>
      </c>
      <c r="P164" s="118">
        <v>44981</v>
      </c>
      <c r="Q164" s="118">
        <v>44906</v>
      </c>
      <c r="R164" s="118">
        <v>44912</v>
      </c>
      <c r="S164" s="119">
        <v>51</v>
      </c>
      <c r="T164" s="119">
        <v>12</v>
      </c>
      <c r="U164" s="119">
        <v>5</v>
      </c>
      <c r="V164" s="119">
        <v>0</v>
      </c>
      <c r="W164" s="119">
        <v>1</v>
      </c>
      <c r="X164" s="120">
        <v>0</v>
      </c>
      <c r="Y164" s="120">
        <v>0</v>
      </c>
      <c r="Z164" s="120">
        <v>0</v>
      </c>
      <c r="AC164" s="119">
        <v>0</v>
      </c>
    </row>
    <row r="165" spans="1:29">
      <c r="A165" s="121" t="s">
        <v>272</v>
      </c>
      <c r="B165" s="121" t="s">
        <v>360</v>
      </c>
      <c r="C165" s="121" t="s">
        <v>349</v>
      </c>
      <c r="D165" s="121" t="s">
        <v>353</v>
      </c>
      <c r="E165" s="121" t="s">
        <v>360</v>
      </c>
      <c r="M165" s="121" t="s">
        <v>361</v>
      </c>
      <c r="N165" s="121" t="s">
        <v>283</v>
      </c>
      <c r="O165" s="118">
        <v>44858</v>
      </c>
      <c r="P165" s="118">
        <v>44981</v>
      </c>
      <c r="Q165" s="118">
        <v>44913</v>
      </c>
      <c r="R165" s="118">
        <v>44919</v>
      </c>
      <c r="S165" s="119">
        <v>52</v>
      </c>
      <c r="T165" s="119">
        <v>13</v>
      </c>
      <c r="U165" s="119">
        <v>5</v>
      </c>
      <c r="V165" s="119">
        <v>0</v>
      </c>
      <c r="W165" s="119">
        <v>1</v>
      </c>
      <c r="X165" s="120">
        <v>0</v>
      </c>
      <c r="Y165" s="120">
        <v>0</v>
      </c>
      <c r="Z165" s="120">
        <v>0</v>
      </c>
      <c r="AC165" s="119">
        <v>0</v>
      </c>
    </row>
    <row r="166" spans="1:29">
      <c r="A166" s="121" t="s">
        <v>272</v>
      </c>
      <c r="B166" s="121" t="s">
        <v>360</v>
      </c>
      <c r="C166" s="121" t="s">
        <v>349</v>
      </c>
      <c r="D166" s="121" t="s">
        <v>353</v>
      </c>
      <c r="E166" s="121" t="s">
        <v>360</v>
      </c>
      <c r="M166" s="121" t="s">
        <v>361</v>
      </c>
      <c r="N166" s="121" t="s">
        <v>283</v>
      </c>
      <c r="O166" s="118">
        <v>44858</v>
      </c>
      <c r="P166" s="118">
        <v>44981</v>
      </c>
      <c r="Q166" s="118">
        <v>44920</v>
      </c>
      <c r="R166" s="118">
        <v>44926</v>
      </c>
      <c r="S166" s="119">
        <v>53</v>
      </c>
      <c r="T166" s="119">
        <v>14</v>
      </c>
      <c r="U166" s="119">
        <v>5</v>
      </c>
      <c r="V166" s="119">
        <v>0</v>
      </c>
      <c r="W166" s="119">
        <v>1</v>
      </c>
      <c r="X166" s="120">
        <v>0</v>
      </c>
      <c r="Y166" s="120">
        <v>0</v>
      </c>
      <c r="Z166" s="120">
        <v>0</v>
      </c>
      <c r="AC166" s="119">
        <v>0</v>
      </c>
    </row>
    <row r="167" spans="1:29">
      <c r="A167" s="121" t="s">
        <v>272</v>
      </c>
      <c r="B167" s="121" t="s">
        <v>360</v>
      </c>
      <c r="C167" s="121" t="s">
        <v>349</v>
      </c>
      <c r="D167" s="121" t="s">
        <v>353</v>
      </c>
      <c r="E167" s="121" t="s">
        <v>360</v>
      </c>
      <c r="M167" s="121" t="s">
        <v>361</v>
      </c>
      <c r="N167" s="121" t="s">
        <v>283</v>
      </c>
      <c r="O167" s="118">
        <v>44858</v>
      </c>
      <c r="P167" s="118">
        <v>44981</v>
      </c>
      <c r="Q167" s="118">
        <v>44927</v>
      </c>
      <c r="R167" s="118">
        <v>44933</v>
      </c>
      <c r="S167" s="119">
        <v>1</v>
      </c>
      <c r="T167" s="119">
        <v>15</v>
      </c>
      <c r="U167" s="119">
        <v>5</v>
      </c>
      <c r="V167" s="119">
        <v>0</v>
      </c>
      <c r="W167" s="119">
        <v>1</v>
      </c>
      <c r="X167" s="120">
        <v>0</v>
      </c>
      <c r="Y167" s="120">
        <v>0</v>
      </c>
      <c r="Z167" s="120">
        <v>0</v>
      </c>
      <c r="AC167" s="119">
        <v>0</v>
      </c>
    </row>
    <row r="168" spans="1:29">
      <c r="A168" s="121" t="s">
        <v>272</v>
      </c>
      <c r="B168" s="121" t="s">
        <v>360</v>
      </c>
      <c r="C168" s="121" t="s">
        <v>349</v>
      </c>
      <c r="D168" s="121" t="s">
        <v>353</v>
      </c>
      <c r="E168" s="121" t="s">
        <v>360</v>
      </c>
      <c r="M168" s="121" t="s">
        <v>361</v>
      </c>
      <c r="N168" s="121" t="s">
        <v>283</v>
      </c>
      <c r="O168" s="118">
        <v>44858</v>
      </c>
      <c r="P168" s="118">
        <v>44981</v>
      </c>
      <c r="Q168" s="118">
        <v>44934</v>
      </c>
      <c r="R168" s="118">
        <v>44940</v>
      </c>
      <c r="S168" s="119">
        <v>2</v>
      </c>
      <c r="T168" s="119">
        <v>16</v>
      </c>
      <c r="U168" s="119">
        <v>5</v>
      </c>
      <c r="V168" s="119">
        <v>0</v>
      </c>
      <c r="W168" s="119">
        <v>1</v>
      </c>
      <c r="X168" s="120">
        <v>0</v>
      </c>
      <c r="Y168" s="120">
        <v>0</v>
      </c>
      <c r="Z168" s="120">
        <v>0</v>
      </c>
      <c r="AC168" s="119">
        <v>0</v>
      </c>
    </row>
    <row r="169" spans="1:29">
      <c r="A169" s="121" t="s">
        <v>272</v>
      </c>
      <c r="B169" s="121" t="s">
        <v>360</v>
      </c>
      <c r="C169" s="121" t="s">
        <v>349</v>
      </c>
      <c r="D169" s="121" t="s">
        <v>353</v>
      </c>
      <c r="E169" s="121" t="s">
        <v>360</v>
      </c>
      <c r="M169" s="121" t="s">
        <v>361</v>
      </c>
      <c r="N169" s="121" t="s">
        <v>283</v>
      </c>
      <c r="O169" s="118">
        <v>44858</v>
      </c>
      <c r="P169" s="118">
        <v>44981</v>
      </c>
      <c r="Q169" s="118">
        <v>44941</v>
      </c>
      <c r="R169" s="118">
        <v>44947</v>
      </c>
      <c r="S169" s="119">
        <v>3</v>
      </c>
      <c r="T169" s="119">
        <v>17</v>
      </c>
      <c r="U169" s="119">
        <v>5</v>
      </c>
      <c r="V169" s="119">
        <v>0</v>
      </c>
      <c r="W169" s="119">
        <v>1</v>
      </c>
      <c r="X169" s="120">
        <v>0</v>
      </c>
      <c r="Y169" s="120">
        <v>0</v>
      </c>
      <c r="Z169" s="120">
        <v>0</v>
      </c>
      <c r="AC169" s="119">
        <v>0</v>
      </c>
    </row>
    <row r="170" spans="1:29">
      <c r="A170" s="121" t="s">
        <v>272</v>
      </c>
      <c r="B170" s="121" t="s">
        <v>360</v>
      </c>
      <c r="C170" s="121" t="s">
        <v>349</v>
      </c>
      <c r="D170" s="121" t="s">
        <v>353</v>
      </c>
      <c r="E170" s="121" t="s">
        <v>360</v>
      </c>
      <c r="M170" s="121" t="s">
        <v>361</v>
      </c>
      <c r="N170" s="121" t="s">
        <v>283</v>
      </c>
      <c r="O170" s="118">
        <v>44858</v>
      </c>
      <c r="P170" s="118">
        <v>44981</v>
      </c>
      <c r="Q170" s="118">
        <v>44948</v>
      </c>
      <c r="R170" s="118">
        <v>44954</v>
      </c>
      <c r="S170" s="119">
        <v>4</v>
      </c>
      <c r="T170" s="119">
        <v>18</v>
      </c>
      <c r="U170" s="119">
        <v>3</v>
      </c>
      <c r="V170" s="119">
        <v>0</v>
      </c>
      <c r="W170" s="119">
        <v>1</v>
      </c>
      <c r="X170" s="120">
        <v>0</v>
      </c>
      <c r="Y170" s="120">
        <v>0</v>
      </c>
      <c r="Z170" s="120">
        <v>0</v>
      </c>
      <c r="AC170" s="119">
        <v>0</v>
      </c>
    </row>
    <row r="171" spans="1:29">
      <c r="A171" s="121" t="s">
        <v>272</v>
      </c>
      <c r="B171" s="121" t="s">
        <v>360</v>
      </c>
      <c r="C171" s="121" t="s">
        <v>349</v>
      </c>
      <c r="D171" s="121" t="s">
        <v>353</v>
      </c>
      <c r="E171" s="121" t="s">
        <v>360</v>
      </c>
      <c r="M171" s="121" t="s">
        <v>361</v>
      </c>
      <c r="N171" s="121" t="s">
        <v>283</v>
      </c>
      <c r="O171" s="118">
        <v>44858</v>
      </c>
      <c r="P171" s="118">
        <v>44981</v>
      </c>
      <c r="Q171" s="118">
        <v>44955</v>
      </c>
      <c r="R171" s="118">
        <v>44961</v>
      </c>
      <c r="S171" s="119">
        <v>5</v>
      </c>
      <c r="T171" s="119">
        <v>19</v>
      </c>
      <c r="U171" s="119">
        <v>5</v>
      </c>
      <c r="V171" s="119">
        <v>0</v>
      </c>
      <c r="W171" s="119">
        <v>1</v>
      </c>
      <c r="X171" s="120">
        <v>0</v>
      </c>
      <c r="Y171" s="120">
        <v>0</v>
      </c>
      <c r="Z171" s="120">
        <v>0</v>
      </c>
      <c r="AC171" s="119">
        <v>0</v>
      </c>
    </row>
    <row r="172" spans="1:29">
      <c r="A172" s="121" t="s">
        <v>272</v>
      </c>
      <c r="B172" s="121" t="s">
        <v>360</v>
      </c>
      <c r="C172" s="121" t="s">
        <v>349</v>
      </c>
      <c r="D172" s="121" t="s">
        <v>353</v>
      </c>
      <c r="E172" s="121" t="s">
        <v>360</v>
      </c>
      <c r="M172" s="121" t="s">
        <v>361</v>
      </c>
      <c r="N172" s="121" t="s">
        <v>283</v>
      </c>
      <c r="O172" s="118">
        <v>44858</v>
      </c>
      <c r="P172" s="118">
        <v>44981</v>
      </c>
      <c r="Q172" s="118">
        <v>44962</v>
      </c>
      <c r="R172" s="118">
        <v>44968</v>
      </c>
      <c r="S172" s="119">
        <v>6</v>
      </c>
      <c r="T172" s="119">
        <v>20</v>
      </c>
      <c r="U172" s="119">
        <v>5</v>
      </c>
      <c r="V172" s="119">
        <v>0</v>
      </c>
      <c r="W172" s="119">
        <v>1</v>
      </c>
      <c r="X172" s="120">
        <v>0</v>
      </c>
      <c r="Y172" s="120">
        <v>0</v>
      </c>
      <c r="Z172" s="120">
        <v>0</v>
      </c>
      <c r="AC172" s="119">
        <v>0</v>
      </c>
    </row>
    <row r="173" spans="1:29">
      <c r="A173" s="121" t="s">
        <v>272</v>
      </c>
      <c r="B173" s="121" t="s">
        <v>360</v>
      </c>
      <c r="C173" s="121" t="s">
        <v>349</v>
      </c>
      <c r="D173" s="121" t="s">
        <v>353</v>
      </c>
      <c r="E173" s="121" t="s">
        <v>360</v>
      </c>
      <c r="M173" s="121" t="s">
        <v>361</v>
      </c>
      <c r="N173" s="121" t="s">
        <v>283</v>
      </c>
      <c r="O173" s="118">
        <v>44858</v>
      </c>
      <c r="P173" s="118">
        <v>44981</v>
      </c>
      <c r="Q173" s="118">
        <v>44969</v>
      </c>
      <c r="R173" s="118">
        <v>44975</v>
      </c>
      <c r="S173" s="119">
        <v>7</v>
      </c>
      <c r="T173" s="119">
        <v>21</v>
      </c>
      <c r="U173" s="119">
        <v>5</v>
      </c>
      <c r="V173" s="119">
        <v>0</v>
      </c>
      <c r="W173" s="119">
        <v>1</v>
      </c>
      <c r="X173" s="120">
        <v>0</v>
      </c>
      <c r="Y173" s="120">
        <v>0</v>
      </c>
      <c r="Z173" s="120">
        <v>0</v>
      </c>
      <c r="AC173" s="119">
        <v>0</v>
      </c>
    </row>
    <row r="174" spans="1:29">
      <c r="A174" s="121" t="s">
        <v>272</v>
      </c>
      <c r="B174" s="121" t="s">
        <v>360</v>
      </c>
      <c r="C174" s="121" t="s">
        <v>349</v>
      </c>
      <c r="D174" s="121" t="s">
        <v>353</v>
      </c>
      <c r="E174" s="121" t="s">
        <v>360</v>
      </c>
      <c r="M174" s="121" t="s">
        <v>361</v>
      </c>
      <c r="N174" s="121" t="s">
        <v>283</v>
      </c>
      <c r="O174" s="118">
        <v>44858</v>
      </c>
      <c r="P174" s="118">
        <v>44981</v>
      </c>
      <c r="Q174" s="118">
        <v>44976</v>
      </c>
      <c r="R174" s="118">
        <v>44982</v>
      </c>
      <c r="S174" s="119">
        <v>8</v>
      </c>
      <c r="T174" s="119">
        <v>22</v>
      </c>
      <c r="U174" s="119">
        <v>5</v>
      </c>
      <c r="V174" s="119">
        <v>0</v>
      </c>
      <c r="W174" s="119">
        <v>1</v>
      </c>
      <c r="X174" s="120">
        <v>0</v>
      </c>
      <c r="Y174" s="120">
        <v>0</v>
      </c>
      <c r="Z174" s="120">
        <v>0</v>
      </c>
      <c r="AC174" s="119">
        <v>0</v>
      </c>
    </row>
    <row r="175" spans="1:29">
      <c r="A175" s="121" t="s">
        <v>349</v>
      </c>
      <c r="B175" s="121" t="s">
        <v>367</v>
      </c>
      <c r="C175" s="121" t="s">
        <v>349</v>
      </c>
      <c r="D175" s="121" t="s">
        <v>362</v>
      </c>
      <c r="E175" s="121" t="s">
        <v>365</v>
      </c>
      <c r="F175" s="121" t="s">
        <v>367</v>
      </c>
      <c r="M175" s="121" t="s">
        <v>368</v>
      </c>
      <c r="N175" s="121" t="s">
        <v>431</v>
      </c>
      <c r="O175" s="118">
        <v>44858</v>
      </c>
      <c r="P175" s="118">
        <v>44862</v>
      </c>
      <c r="Q175" s="118">
        <v>44857</v>
      </c>
      <c r="R175" s="118">
        <v>44863</v>
      </c>
      <c r="S175" s="119">
        <v>44</v>
      </c>
      <c r="T175" s="119">
        <v>5</v>
      </c>
      <c r="U175" s="119">
        <v>1.6666666666666667</v>
      </c>
      <c r="V175" s="119">
        <v>0</v>
      </c>
      <c r="W175" s="119">
        <v>1</v>
      </c>
      <c r="X175" s="120">
        <v>0</v>
      </c>
      <c r="Y175" s="120">
        <v>0</v>
      </c>
      <c r="Z175" s="120">
        <v>0</v>
      </c>
      <c r="AC175" s="119">
        <v>0</v>
      </c>
    </row>
    <row r="176" spans="1:29">
      <c r="A176" s="121" t="s">
        <v>349</v>
      </c>
      <c r="B176" s="121" t="s">
        <v>367</v>
      </c>
      <c r="C176" s="121" t="s">
        <v>349</v>
      </c>
      <c r="D176" s="121" t="s">
        <v>362</v>
      </c>
      <c r="E176" s="121" t="s">
        <v>365</v>
      </c>
      <c r="F176" s="121" t="s">
        <v>367</v>
      </c>
      <c r="M176" s="121" t="s">
        <v>368</v>
      </c>
      <c r="N176" s="121" t="s">
        <v>429</v>
      </c>
      <c r="O176" s="118">
        <v>44858</v>
      </c>
      <c r="P176" s="118">
        <v>44862</v>
      </c>
      <c r="Q176" s="118">
        <v>44857</v>
      </c>
      <c r="R176" s="118">
        <v>44863</v>
      </c>
      <c r="S176" s="119">
        <v>44</v>
      </c>
      <c r="T176" s="119">
        <v>5</v>
      </c>
      <c r="U176" s="119">
        <v>1.6666666666666667</v>
      </c>
      <c r="V176" s="119">
        <v>0</v>
      </c>
      <c r="W176" s="119">
        <v>1</v>
      </c>
      <c r="X176" s="120">
        <v>0</v>
      </c>
      <c r="Y176" s="120">
        <v>0</v>
      </c>
      <c r="Z176" s="120">
        <v>0</v>
      </c>
      <c r="AC176" s="119">
        <v>0</v>
      </c>
    </row>
    <row r="177" spans="1:29">
      <c r="A177" s="121" t="s">
        <v>349</v>
      </c>
      <c r="B177" s="121" t="s">
        <v>367</v>
      </c>
      <c r="C177" s="121" t="s">
        <v>349</v>
      </c>
      <c r="D177" s="121" t="s">
        <v>362</v>
      </c>
      <c r="E177" s="121" t="s">
        <v>365</v>
      </c>
      <c r="F177" s="121" t="s">
        <v>367</v>
      </c>
      <c r="M177" s="121" t="s">
        <v>368</v>
      </c>
      <c r="N177" s="121" t="s">
        <v>1612</v>
      </c>
      <c r="O177" s="118">
        <v>44858</v>
      </c>
      <c r="P177" s="118">
        <v>44862</v>
      </c>
      <c r="Q177" s="118">
        <v>44857</v>
      </c>
      <c r="R177" s="118">
        <v>44863</v>
      </c>
      <c r="S177" s="119">
        <v>44</v>
      </c>
      <c r="T177" s="119">
        <v>5</v>
      </c>
      <c r="U177" s="119">
        <v>1.6666666666666667</v>
      </c>
      <c r="V177" s="119">
        <v>0</v>
      </c>
      <c r="W177" s="119">
        <v>1</v>
      </c>
      <c r="X177" s="120">
        <v>0</v>
      </c>
      <c r="Y177" s="120">
        <v>0</v>
      </c>
      <c r="Z177" s="120">
        <v>0</v>
      </c>
      <c r="AC177" s="119">
        <v>0</v>
      </c>
    </row>
    <row r="178" spans="1:29">
      <c r="A178" s="121" t="s">
        <v>349</v>
      </c>
      <c r="B178" s="121" t="s">
        <v>369</v>
      </c>
      <c r="C178" s="121" t="s">
        <v>349</v>
      </c>
      <c r="D178" s="121" t="s">
        <v>362</v>
      </c>
      <c r="E178" s="121" t="s">
        <v>365</v>
      </c>
      <c r="F178" s="121" t="s">
        <v>369</v>
      </c>
      <c r="M178" s="121" t="s">
        <v>370</v>
      </c>
      <c r="N178" s="121" t="s">
        <v>431</v>
      </c>
      <c r="O178" s="118">
        <v>44865</v>
      </c>
      <c r="P178" s="118">
        <v>44869</v>
      </c>
      <c r="Q178" s="118">
        <v>44864</v>
      </c>
      <c r="R178" s="118">
        <v>44870</v>
      </c>
      <c r="S178" s="119">
        <v>45</v>
      </c>
      <c r="T178" s="119">
        <v>6</v>
      </c>
      <c r="U178" s="119">
        <v>1.6666666666666667</v>
      </c>
      <c r="V178" s="119">
        <v>0</v>
      </c>
      <c r="W178" s="119">
        <v>1</v>
      </c>
      <c r="X178" s="120">
        <v>0</v>
      </c>
      <c r="Y178" s="120">
        <v>0</v>
      </c>
      <c r="Z178" s="120">
        <v>0</v>
      </c>
      <c r="AC178" s="119">
        <v>0</v>
      </c>
    </row>
    <row r="179" spans="1:29">
      <c r="A179" s="121" t="s">
        <v>349</v>
      </c>
      <c r="B179" s="121" t="s">
        <v>369</v>
      </c>
      <c r="C179" s="121" t="s">
        <v>349</v>
      </c>
      <c r="D179" s="121" t="s">
        <v>362</v>
      </c>
      <c r="E179" s="121" t="s">
        <v>365</v>
      </c>
      <c r="F179" s="121" t="s">
        <v>369</v>
      </c>
      <c r="M179" s="121" t="s">
        <v>370</v>
      </c>
      <c r="N179" s="121" t="s">
        <v>429</v>
      </c>
      <c r="O179" s="118">
        <v>44865</v>
      </c>
      <c r="P179" s="118">
        <v>44869</v>
      </c>
      <c r="Q179" s="118">
        <v>44864</v>
      </c>
      <c r="R179" s="118">
        <v>44870</v>
      </c>
      <c r="S179" s="119">
        <v>45</v>
      </c>
      <c r="T179" s="119">
        <v>6</v>
      </c>
      <c r="U179" s="119">
        <v>1.6666666666666667</v>
      </c>
      <c r="V179" s="119">
        <v>0</v>
      </c>
      <c r="W179" s="119">
        <v>1</v>
      </c>
      <c r="X179" s="120">
        <v>0</v>
      </c>
      <c r="Y179" s="120">
        <v>0</v>
      </c>
      <c r="Z179" s="120">
        <v>0</v>
      </c>
      <c r="AC179" s="119">
        <v>0</v>
      </c>
    </row>
    <row r="180" spans="1:29">
      <c r="A180" s="121" t="s">
        <v>349</v>
      </c>
      <c r="B180" s="121" t="s">
        <v>369</v>
      </c>
      <c r="C180" s="121" t="s">
        <v>349</v>
      </c>
      <c r="D180" s="121" t="s">
        <v>362</v>
      </c>
      <c r="E180" s="121" t="s">
        <v>365</v>
      </c>
      <c r="F180" s="121" t="s">
        <v>369</v>
      </c>
      <c r="M180" s="121" t="s">
        <v>370</v>
      </c>
      <c r="N180" s="121" t="s">
        <v>1612</v>
      </c>
      <c r="O180" s="118">
        <v>44865</v>
      </c>
      <c r="P180" s="118">
        <v>44869</v>
      </c>
      <c r="Q180" s="118">
        <v>44864</v>
      </c>
      <c r="R180" s="118">
        <v>44870</v>
      </c>
      <c r="S180" s="119">
        <v>45</v>
      </c>
      <c r="T180" s="119">
        <v>6</v>
      </c>
      <c r="U180" s="119">
        <v>1.6666666666666667</v>
      </c>
      <c r="V180" s="119">
        <v>0</v>
      </c>
      <c r="W180" s="119">
        <v>1</v>
      </c>
      <c r="X180" s="120">
        <v>0</v>
      </c>
      <c r="Y180" s="120">
        <v>0</v>
      </c>
      <c r="Z180" s="120">
        <v>0</v>
      </c>
      <c r="AC180" s="119">
        <v>0</v>
      </c>
    </row>
    <row r="181" spans="1:29">
      <c r="A181" s="121" t="s">
        <v>349</v>
      </c>
      <c r="B181" s="121" t="s">
        <v>372</v>
      </c>
      <c r="C181" s="121" t="s">
        <v>349</v>
      </c>
      <c r="D181" s="121" t="s">
        <v>362</v>
      </c>
      <c r="E181" s="121" t="s">
        <v>365</v>
      </c>
      <c r="F181" s="121" t="s">
        <v>372</v>
      </c>
      <c r="M181" s="121" t="s">
        <v>373</v>
      </c>
      <c r="N181" s="121" t="s">
        <v>431</v>
      </c>
      <c r="O181" s="118">
        <v>44872</v>
      </c>
      <c r="P181" s="118">
        <v>44883</v>
      </c>
      <c r="Q181" s="118">
        <v>44871</v>
      </c>
      <c r="R181" s="118">
        <v>44877</v>
      </c>
      <c r="S181" s="119">
        <v>46</v>
      </c>
      <c r="T181" s="119">
        <v>7</v>
      </c>
      <c r="U181" s="119">
        <v>1.6666666666666667</v>
      </c>
      <c r="V181" s="119">
        <v>0</v>
      </c>
      <c r="W181" s="119">
        <v>1</v>
      </c>
      <c r="X181" s="120">
        <v>0</v>
      </c>
      <c r="Y181" s="120">
        <v>0</v>
      </c>
      <c r="Z181" s="120">
        <v>0</v>
      </c>
      <c r="AC181" s="119">
        <v>0</v>
      </c>
    </row>
    <row r="182" spans="1:29">
      <c r="A182" s="121" t="s">
        <v>349</v>
      </c>
      <c r="B182" s="121" t="s">
        <v>372</v>
      </c>
      <c r="C182" s="121" t="s">
        <v>349</v>
      </c>
      <c r="D182" s="121" t="s">
        <v>362</v>
      </c>
      <c r="E182" s="121" t="s">
        <v>365</v>
      </c>
      <c r="F182" s="121" t="s">
        <v>372</v>
      </c>
      <c r="M182" s="121" t="s">
        <v>373</v>
      </c>
      <c r="N182" s="121" t="s">
        <v>429</v>
      </c>
      <c r="O182" s="118">
        <v>44872</v>
      </c>
      <c r="P182" s="118">
        <v>44883</v>
      </c>
      <c r="Q182" s="118">
        <v>44871</v>
      </c>
      <c r="R182" s="118">
        <v>44877</v>
      </c>
      <c r="S182" s="119">
        <v>46</v>
      </c>
      <c r="T182" s="119">
        <v>7</v>
      </c>
      <c r="U182" s="119">
        <v>1.6666666666666667</v>
      </c>
      <c r="V182" s="119">
        <v>0</v>
      </c>
      <c r="W182" s="119">
        <v>1</v>
      </c>
      <c r="X182" s="120">
        <v>0</v>
      </c>
      <c r="Y182" s="120">
        <v>0</v>
      </c>
      <c r="Z182" s="120">
        <v>0</v>
      </c>
      <c r="AC182" s="119">
        <v>0</v>
      </c>
    </row>
    <row r="183" spans="1:29">
      <c r="A183" s="121" t="s">
        <v>349</v>
      </c>
      <c r="B183" s="121" t="s">
        <v>372</v>
      </c>
      <c r="C183" s="121" t="s">
        <v>349</v>
      </c>
      <c r="D183" s="121" t="s">
        <v>362</v>
      </c>
      <c r="E183" s="121" t="s">
        <v>365</v>
      </c>
      <c r="F183" s="121" t="s">
        <v>372</v>
      </c>
      <c r="M183" s="121" t="s">
        <v>373</v>
      </c>
      <c r="N183" s="121" t="s">
        <v>1612</v>
      </c>
      <c r="O183" s="118">
        <v>44872</v>
      </c>
      <c r="P183" s="118">
        <v>44883</v>
      </c>
      <c r="Q183" s="118">
        <v>44871</v>
      </c>
      <c r="R183" s="118">
        <v>44877</v>
      </c>
      <c r="S183" s="119">
        <v>46</v>
      </c>
      <c r="T183" s="119">
        <v>7</v>
      </c>
      <c r="U183" s="119">
        <v>1.6666666666666667</v>
      </c>
      <c r="V183" s="119">
        <v>0</v>
      </c>
      <c r="W183" s="119">
        <v>1</v>
      </c>
      <c r="X183" s="120">
        <v>0</v>
      </c>
      <c r="Y183" s="120">
        <v>0</v>
      </c>
      <c r="Z183" s="120">
        <v>0</v>
      </c>
      <c r="AC183" s="119">
        <v>0</v>
      </c>
    </row>
    <row r="184" spans="1:29">
      <c r="A184" s="121" t="s">
        <v>349</v>
      </c>
      <c r="B184" s="121" t="s">
        <v>372</v>
      </c>
      <c r="C184" s="121" t="s">
        <v>349</v>
      </c>
      <c r="D184" s="121" t="s">
        <v>362</v>
      </c>
      <c r="E184" s="121" t="s">
        <v>365</v>
      </c>
      <c r="F184" s="121" t="s">
        <v>372</v>
      </c>
      <c r="M184" s="121" t="s">
        <v>373</v>
      </c>
      <c r="N184" s="121" t="s">
        <v>431</v>
      </c>
      <c r="O184" s="118">
        <v>44872</v>
      </c>
      <c r="P184" s="118">
        <v>44883</v>
      </c>
      <c r="Q184" s="118">
        <v>44878</v>
      </c>
      <c r="R184" s="118">
        <v>44884</v>
      </c>
      <c r="S184" s="119">
        <v>47</v>
      </c>
      <c r="T184" s="119">
        <v>8</v>
      </c>
      <c r="U184" s="119">
        <v>1.6666666666666667</v>
      </c>
      <c r="V184" s="119">
        <v>0</v>
      </c>
      <c r="W184" s="119">
        <v>1</v>
      </c>
      <c r="X184" s="120">
        <v>0</v>
      </c>
      <c r="Y184" s="120">
        <v>0</v>
      </c>
      <c r="Z184" s="120">
        <v>0</v>
      </c>
      <c r="AC184" s="119">
        <v>0</v>
      </c>
    </row>
    <row r="185" spans="1:29">
      <c r="A185" s="121" t="s">
        <v>349</v>
      </c>
      <c r="B185" s="121" t="s">
        <v>372</v>
      </c>
      <c r="C185" s="121" t="s">
        <v>349</v>
      </c>
      <c r="D185" s="121" t="s">
        <v>362</v>
      </c>
      <c r="E185" s="121" t="s">
        <v>365</v>
      </c>
      <c r="F185" s="121" t="s">
        <v>372</v>
      </c>
      <c r="M185" s="121" t="s">
        <v>373</v>
      </c>
      <c r="N185" s="121" t="s">
        <v>429</v>
      </c>
      <c r="O185" s="118">
        <v>44872</v>
      </c>
      <c r="P185" s="118">
        <v>44883</v>
      </c>
      <c r="Q185" s="118">
        <v>44878</v>
      </c>
      <c r="R185" s="118">
        <v>44884</v>
      </c>
      <c r="S185" s="119">
        <v>47</v>
      </c>
      <c r="T185" s="119">
        <v>8</v>
      </c>
      <c r="U185" s="119">
        <v>1.6666666666666667</v>
      </c>
      <c r="V185" s="119">
        <v>0</v>
      </c>
      <c r="W185" s="119">
        <v>1</v>
      </c>
      <c r="X185" s="120">
        <v>0</v>
      </c>
      <c r="Y185" s="120">
        <v>0</v>
      </c>
      <c r="Z185" s="120">
        <v>0</v>
      </c>
      <c r="AC185" s="119">
        <v>0</v>
      </c>
    </row>
    <row r="186" spans="1:29">
      <c r="A186" s="121" t="s">
        <v>349</v>
      </c>
      <c r="B186" s="121" t="s">
        <v>372</v>
      </c>
      <c r="C186" s="121" t="s">
        <v>349</v>
      </c>
      <c r="D186" s="121" t="s">
        <v>362</v>
      </c>
      <c r="E186" s="121" t="s">
        <v>365</v>
      </c>
      <c r="F186" s="121" t="s">
        <v>372</v>
      </c>
      <c r="M186" s="121" t="s">
        <v>373</v>
      </c>
      <c r="N186" s="121" t="s">
        <v>1612</v>
      </c>
      <c r="O186" s="118">
        <v>44872</v>
      </c>
      <c r="P186" s="118">
        <v>44883</v>
      </c>
      <c r="Q186" s="118">
        <v>44878</v>
      </c>
      <c r="R186" s="118">
        <v>44884</v>
      </c>
      <c r="S186" s="119">
        <v>47</v>
      </c>
      <c r="T186" s="119">
        <v>8</v>
      </c>
      <c r="U186" s="119">
        <v>1.6666666666666667</v>
      </c>
      <c r="V186" s="119">
        <v>0</v>
      </c>
      <c r="W186" s="119">
        <v>1</v>
      </c>
      <c r="X186" s="120">
        <v>0</v>
      </c>
      <c r="Y186" s="120">
        <v>0</v>
      </c>
      <c r="Z186" s="120">
        <v>0</v>
      </c>
      <c r="AC186" s="119">
        <v>0</v>
      </c>
    </row>
    <row r="187" spans="1:29">
      <c r="A187" s="121" t="s">
        <v>349</v>
      </c>
      <c r="B187" s="121" t="s">
        <v>377</v>
      </c>
      <c r="C187" s="121" t="s">
        <v>349</v>
      </c>
      <c r="D187" s="121" t="s">
        <v>362</v>
      </c>
      <c r="E187" s="121" t="s">
        <v>375</v>
      </c>
      <c r="F187" s="121" t="s">
        <v>377</v>
      </c>
      <c r="M187" s="121" t="s">
        <v>378</v>
      </c>
      <c r="N187" s="121" t="s">
        <v>431</v>
      </c>
      <c r="O187" s="118">
        <v>44886</v>
      </c>
      <c r="P187" s="118">
        <v>44918</v>
      </c>
      <c r="Q187" s="118">
        <v>44885</v>
      </c>
      <c r="R187" s="118">
        <v>44891</v>
      </c>
      <c r="S187" s="119">
        <v>48</v>
      </c>
      <c r="T187" s="119">
        <v>9</v>
      </c>
      <c r="U187" s="119">
        <v>1.6666666666666667</v>
      </c>
      <c r="V187" s="119">
        <v>0</v>
      </c>
      <c r="W187" s="119">
        <v>1</v>
      </c>
      <c r="X187" s="120">
        <v>0</v>
      </c>
      <c r="Y187" s="120">
        <v>0</v>
      </c>
      <c r="Z187" s="120">
        <v>0</v>
      </c>
      <c r="AC187" s="119">
        <v>0</v>
      </c>
    </row>
    <row r="188" spans="1:29">
      <c r="A188" s="121" t="s">
        <v>349</v>
      </c>
      <c r="B188" s="121" t="s">
        <v>377</v>
      </c>
      <c r="C188" s="121" t="s">
        <v>349</v>
      </c>
      <c r="D188" s="121" t="s">
        <v>362</v>
      </c>
      <c r="E188" s="121" t="s">
        <v>375</v>
      </c>
      <c r="F188" s="121" t="s">
        <v>377</v>
      </c>
      <c r="M188" s="121" t="s">
        <v>378</v>
      </c>
      <c r="N188" s="121" t="s">
        <v>429</v>
      </c>
      <c r="O188" s="118">
        <v>44886</v>
      </c>
      <c r="P188" s="118">
        <v>44918</v>
      </c>
      <c r="Q188" s="118">
        <v>44885</v>
      </c>
      <c r="R188" s="118">
        <v>44891</v>
      </c>
      <c r="S188" s="119">
        <v>48</v>
      </c>
      <c r="T188" s="119">
        <v>9</v>
      </c>
      <c r="U188" s="119">
        <v>1.6666666666666667</v>
      </c>
      <c r="V188" s="119">
        <v>0</v>
      </c>
      <c r="W188" s="119">
        <v>1</v>
      </c>
      <c r="X188" s="120">
        <v>0</v>
      </c>
      <c r="Y188" s="120">
        <v>0</v>
      </c>
      <c r="Z188" s="120">
        <v>0</v>
      </c>
      <c r="AC188" s="119">
        <v>0</v>
      </c>
    </row>
    <row r="189" spans="1:29">
      <c r="A189" s="121" t="s">
        <v>349</v>
      </c>
      <c r="B189" s="121" t="s">
        <v>377</v>
      </c>
      <c r="C189" s="121" t="s">
        <v>349</v>
      </c>
      <c r="D189" s="121" t="s">
        <v>362</v>
      </c>
      <c r="E189" s="121" t="s">
        <v>375</v>
      </c>
      <c r="F189" s="121" t="s">
        <v>377</v>
      </c>
      <c r="M189" s="121" t="s">
        <v>378</v>
      </c>
      <c r="N189" s="121" t="s">
        <v>1612</v>
      </c>
      <c r="O189" s="118">
        <v>44886</v>
      </c>
      <c r="P189" s="118">
        <v>44918</v>
      </c>
      <c r="Q189" s="118">
        <v>44885</v>
      </c>
      <c r="R189" s="118">
        <v>44891</v>
      </c>
      <c r="S189" s="119">
        <v>48</v>
      </c>
      <c r="T189" s="119">
        <v>9</v>
      </c>
      <c r="U189" s="119">
        <v>1.6666666666666667</v>
      </c>
      <c r="V189" s="119">
        <v>0</v>
      </c>
      <c r="W189" s="119">
        <v>1</v>
      </c>
      <c r="X189" s="120">
        <v>0</v>
      </c>
      <c r="Y189" s="120">
        <v>0</v>
      </c>
      <c r="Z189" s="120">
        <v>0</v>
      </c>
      <c r="AC189" s="119">
        <v>0</v>
      </c>
    </row>
    <row r="190" spans="1:29">
      <c r="A190" s="121" t="s">
        <v>349</v>
      </c>
      <c r="B190" s="121" t="s">
        <v>377</v>
      </c>
      <c r="C190" s="121" t="s">
        <v>349</v>
      </c>
      <c r="D190" s="121" t="s">
        <v>362</v>
      </c>
      <c r="E190" s="121" t="s">
        <v>375</v>
      </c>
      <c r="F190" s="121" t="s">
        <v>377</v>
      </c>
      <c r="M190" s="121" t="s">
        <v>378</v>
      </c>
      <c r="N190" s="121" t="s">
        <v>431</v>
      </c>
      <c r="O190" s="118">
        <v>44886</v>
      </c>
      <c r="P190" s="118">
        <v>44918</v>
      </c>
      <c r="Q190" s="118">
        <v>44892</v>
      </c>
      <c r="R190" s="118">
        <v>44898</v>
      </c>
      <c r="S190" s="119">
        <v>49</v>
      </c>
      <c r="T190" s="119">
        <v>10</v>
      </c>
      <c r="U190" s="119">
        <v>1.6666666666666667</v>
      </c>
      <c r="V190" s="119">
        <v>0</v>
      </c>
      <c r="W190" s="119">
        <v>1</v>
      </c>
      <c r="X190" s="120">
        <v>0</v>
      </c>
      <c r="Y190" s="120">
        <v>0</v>
      </c>
      <c r="Z190" s="120">
        <v>0</v>
      </c>
      <c r="AC190" s="119">
        <v>0</v>
      </c>
    </row>
    <row r="191" spans="1:29">
      <c r="A191" s="121" t="s">
        <v>349</v>
      </c>
      <c r="B191" s="121" t="s">
        <v>377</v>
      </c>
      <c r="C191" s="121" t="s">
        <v>349</v>
      </c>
      <c r="D191" s="121" t="s">
        <v>362</v>
      </c>
      <c r="E191" s="121" t="s">
        <v>375</v>
      </c>
      <c r="F191" s="121" t="s">
        <v>377</v>
      </c>
      <c r="M191" s="121" t="s">
        <v>378</v>
      </c>
      <c r="N191" s="121" t="s">
        <v>429</v>
      </c>
      <c r="O191" s="118">
        <v>44886</v>
      </c>
      <c r="P191" s="118">
        <v>44918</v>
      </c>
      <c r="Q191" s="118">
        <v>44892</v>
      </c>
      <c r="R191" s="118">
        <v>44898</v>
      </c>
      <c r="S191" s="119">
        <v>49</v>
      </c>
      <c r="T191" s="119">
        <v>10</v>
      </c>
      <c r="U191" s="119">
        <v>1.6666666666666667</v>
      </c>
      <c r="V191" s="119">
        <v>0</v>
      </c>
      <c r="W191" s="119">
        <v>1</v>
      </c>
      <c r="X191" s="120">
        <v>0</v>
      </c>
      <c r="Y191" s="120">
        <v>0</v>
      </c>
      <c r="Z191" s="120">
        <v>0</v>
      </c>
      <c r="AC191" s="119">
        <v>0</v>
      </c>
    </row>
    <row r="192" spans="1:29">
      <c r="A192" s="121" t="s">
        <v>349</v>
      </c>
      <c r="B192" s="121" t="s">
        <v>377</v>
      </c>
      <c r="C192" s="121" t="s">
        <v>349</v>
      </c>
      <c r="D192" s="121" t="s">
        <v>362</v>
      </c>
      <c r="E192" s="121" t="s">
        <v>375</v>
      </c>
      <c r="F192" s="121" t="s">
        <v>377</v>
      </c>
      <c r="M192" s="121" t="s">
        <v>378</v>
      </c>
      <c r="N192" s="121" t="s">
        <v>1612</v>
      </c>
      <c r="O192" s="118">
        <v>44886</v>
      </c>
      <c r="P192" s="118">
        <v>44918</v>
      </c>
      <c r="Q192" s="118">
        <v>44892</v>
      </c>
      <c r="R192" s="118">
        <v>44898</v>
      </c>
      <c r="S192" s="119">
        <v>49</v>
      </c>
      <c r="T192" s="119">
        <v>10</v>
      </c>
      <c r="U192" s="119">
        <v>1.6666666666666667</v>
      </c>
      <c r="V192" s="119">
        <v>0</v>
      </c>
      <c r="W192" s="119">
        <v>1</v>
      </c>
      <c r="X192" s="120">
        <v>0</v>
      </c>
      <c r="Y192" s="120">
        <v>0</v>
      </c>
      <c r="Z192" s="120">
        <v>0</v>
      </c>
      <c r="AC192" s="119">
        <v>0</v>
      </c>
    </row>
    <row r="193" spans="1:29">
      <c r="A193" s="121" t="s">
        <v>349</v>
      </c>
      <c r="B193" s="121" t="s">
        <v>377</v>
      </c>
      <c r="C193" s="121" t="s">
        <v>349</v>
      </c>
      <c r="D193" s="121" t="s">
        <v>362</v>
      </c>
      <c r="E193" s="121" t="s">
        <v>375</v>
      </c>
      <c r="F193" s="121" t="s">
        <v>377</v>
      </c>
      <c r="M193" s="121" t="s">
        <v>378</v>
      </c>
      <c r="N193" s="121" t="s">
        <v>431</v>
      </c>
      <c r="O193" s="118">
        <v>44886</v>
      </c>
      <c r="P193" s="118">
        <v>44918</v>
      </c>
      <c r="Q193" s="118">
        <v>44899</v>
      </c>
      <c r="R193" s="118">
        <v>44905</v>
      </c>
      <c r="S193" s="119">
        <v>50</v>
      </c>
      <c r="T193" s="119">
        <v>11</v>
      </c>
      <c r="U193" s="119">
        <v>1.6666666666666667</v>
      </c>
      <c r="V193" s="119">
        <v>0</v>
      </c>
      <c r="W193" s="119">
        <v>1</v>
      </c>
      <c r="X193" s="120">
        <v>0</v>
      </c>
      <c r="Y193" s="120">
        <v>0</v>
      </c>
      <c r="Z193" s="120">
        <v>0</v>
      </c>
      <c r="AC193" s="119">
        <v>0</v>
      </c>
    </row>
    <row r="194" spans="1:29">
      <c r="A194" s="121" t="s">
        <v>349</v>
      </c>
      <c r="B194" s="121" t="s">
        <v>377</v>
      </c>
      <c r="C194" s="121" t="s">
        <v>349</v>
      </c>
      <c r="D194" s="121" t="s">
        <v>362</v>
      </c>
      <c r="E194" s="121" t="s">
        <v>375</v>
      </c>
      <c r="F194" s="121" t="s">
        <v>377</v>
      </c>
      <c r="M194" s="121" t="s">
        <v>378</v>
      </c>
      <c r="N194" s="121" t="s">
        <v>429</v>
      </c>
      <c r="O194" s="118">
        <v>44886</v>
      </c>
      <c r="P194" s="118">
        <v>44918</v>
      </c>
      <c r="Q194" s="118">
        <v>44899</v>
      </c>
      <c r="R194" s="118">
        <v>44905</v>
      </c>
      <c r="S194" s="119">
        <v>50</v>
      </c>
      <c r="T194" s="119">
        <v>11</v>
      </c>
      <c r="U194" s="119">
        <v>1.6666666666666667</v>
      </c>
      <c r="V194" s="119">
        <v>0</v>
      </c>
      <c r="W194" s="119">
        <v>1</v>
      </c>
      <c r="X194" s="120">
        <v>0</v>
      </c>
      <c r="Y194" s="120">
        <v>0</v>
      </c>
      <c r="Z194" s="120">
        <v>0</v>
      </c>
      <c r="AC194" s="119">
        <v>0</v>
      </c>
    </row>
    <row r="195" spans="1:29">
      <c r="A195" s="121" t="s">
        <v>349</v>
      </c>
      <c r="B195" s="121" t="s">
        <v>377</v>
      </c>
      <c r="C195" s="121" t="s">
        <v>349</v>
      </c>
      <c r="D195" s="121" t="s">
        <v>362</v>
      </c>
      <c r="E195" s="121" t="s">
        <v>375</v>
      </c>
      <c r="F195" s="121" t="s">
        <v>377</v>
      </c>
      <c r="M195" s="121" t="s">
        <v>378</v>
      </c>
      <c r="N195" s="121" t="s">
        <v>1612</v>
      </c>
      <c r="O195" s="118">
        <v>44886</v>
      </c>
      <c r="P195" s="118">
        <v>44918</v>
      </c>
      <c r="Q195" s="118">
        <v>44899</v>
      </c>
      <c r="R195" s="118">
        <v>44905</v>
      </c>
      <c r="S195" s="119">
        <v>50</v>
      </c>
      <c r="T195" s="119">
        <v>11</v>
      </c>
      <c r="U195" s="119">
        <v>1.6666666666666667</v>
      </c>
      <c r="V195" s="119">
        <v>0</v>
      </c>
      <c r="W195" s="119">
        <v>1</v>
      </c>
      <c r="X195" s="120">
        <v>0</v>
      </c>
      <c r="Y195" s="120">
        <v>0</v>
      </c>
      <c r="Z195" s="120">
        <v>0</v>
      </c>
      <c r="AC195" s="119">
        <v>0</v>
      </c>
    </row>
    <row r="196" spans="1:29">
      <c r="A196" s="121" t="s">
        <v>349</v>
      </c>
      <c r="B196" s="121" t="s">
        <v>377</v>
      </c>
      <c r="C196" s="121" t="s">
        <v>349</v>
      </c>
      <c r="D196" s="121" t="s">
        <v>362</v>
      </c>
      <c r="E196" s="121" t="s">
        <v>375</v>
      </c>
      <c r="F196" s="121" t="s">
        <v>377</v>
      </c>
      <c r="M196" s="121" t="s">
        <v>378</v>
      </c>
      <c r="N196" s="121" t="s">
        <v>431</v>
      </c>
      <c r="O196" s="118">
        <v>44886</v>
      </c>
      <c r="P196" s="118">
        <v>44918</v>
      </c>
      <c r="Q196" s="118">
        <v>44906</v>
      </c>
      <c r="R196" s="118">
        <v>44912</v>
      </c>
      <c r="S196" s="119">
        <v>51</v>
      </c>
      <c r="T196" s="119">
        <v>12</v>
      </c>
      <c r="U196" s="119">
        <v>1.6666666666666667</v>
      </c>
      <c r="V196" s="119">
        <v>0</v>
      </c>
      <c r="W196" s="119">
        <v>1</v>
      </c>
      <c r="X196" s="120">
        <v>0</v>
      </c>
      <c r="Y196" s="120">
        <v>0</v>
      </c>
      <c r="Z196" s="120">
        <v>0</v>
      </c>
      <c r="AC196" s="119">
        <v>0</v>
      </c>
    </row>
    <row r="197" spans="1:29">
      <c r="A197" s="121" t="s">
        <v>349</v>
      </c>
      <c r="B197" s="121" t="s">
        <v>377</v>
      </c>
      <c r="C197" s="121" t="s">
        <v>349</v>
      </c>
      <c r="D197" s="121" t="s">
        <v>362</v>
      </c>
      <c r="E197" s="121" t="s">
        <v>375</v>
      </c>
      <c r="F197" s="121" t="s">
        <v>377</v>
      </c>
      <c r="M197" s="121" t="s">
        <v>378</v>
      </c>
      <c r="N197" s="121" t="s">
        <v>429</v>
      </c>
      <c r="O197" s="118">
        <v>44886</v>
      </c>
      <c r="P197" s="118">
        <v>44918</v>
      </c>
      <c r="Q197" s="118">
        <v>44906</v>
      </c>
      <c r="R197" s="118">
        <v>44912</v>
      </c>
      <c r="S197" s="119">
        <v>51</v>
      </c>
      <c r="T197" s="119">
        <v>12</v>
      </c>
      <c r="U197" s="119">
        <v>1.6666666666666667</v>
      </c>
      <c r="V197" s="119">
        <v>0</v>
      </c>
      <c r="W197" s="119">
        <v>1</v>
      </c>
      <c r="X197" s="120">
        <v>0</v>
      </c>
      <c r="Y197" s="120">
        <v>0</v>
      </c>
      <c r="Z197" s="120">
        <v>0</v>
      </c>
      <c r="AC197" s="119">
        <v>0</v>
      </c>
    </row>
    <row r="198" spans="1:29">
      <c r="A198" s="121" t="s">
        <v>349</v>
      </c>
      <c r="B198" s="121" t="s">
        <v>377</v>
      </c>
      <c r="C198" s="121" t="s">
        <v>349</v>
      </c>
      <c r="D198" s="121" t="s">
        <v>362</v>
      </c>
      <c r="E198" s="121" t="s">
        <v>375</v>
      </c>
      <c r="F198" s="121" t="s">
        <v>377</v>
      </c>
      <c r="M198" s="121" t="s">
        <v>378</v>
      </c>
      <c r="N198" s="121" t="s">
        <v>1612</v>
      </c>
      <c r="O198" s="118">
        <v>44886</v>
      </c>
      <c r="P198" s="118">
        <v>44918</v>
      </c>
      <c r="Q198" s="118">
        <v>44906</v>
      </c>
      <c r="R198" s="118">
        <v>44912</v>
      </c>
      <c r="S198" s="119">
        <v>51</v>
      </c>
      <c r="T198" s="119">
        <v>12</v>
      </c>
      <c r="U198" s="119">
        <v>1.6666666666666667</v>
      </c>
      <c r="V198" s="119">
        <v>0</v>
      </c>
      <c r="W198" s="119">
        <v>1</v>
      </c>
      <c r="X198" s="120">
        <v>0</v>
      </c>
      <c r="Y198" s="120">
        <v>0</v>
      </c>
      <c r="Z198" s="120">
        <v>0</v>
      </c>
      <c r="AC198" s="119">
        <v>0</v>
      </c>
    </row>
    <row r="199" spans="1:29">
      <c r="A199" s="121" t="s">
        <v>349</v>
      </c>
      <c r="B199" s="121" t="s">
        <v>377</v>
      </c>
      <c r="C199" s="121" t="s">
        <v>349</v>
      </c>
      <c r="D199" s="121" t="s">
        <v>362</v>
      </c>
      <c r="E199" s="121" t="s">
        <v>375</v>
      </c>
      <c r="F199" s="121" t="s">
        <v>377</v>
      </c>
      <c r="M199" s="121" t="s">
        <v>378</v>
      </c>
      <c r="N199" s="121" t="s">
        <v>431</v>
      </c>
      <c r="O199" s="118">
        <v>44886</v>
      </c>
      <c r="P199" s="118">
        <v>44918</v>
      </c>
      <c r="Q199" s="118">
        <v>44913</v>
      </c>
      <c r="R199" s="118">
        <v>44919</v>
      </c>
      <c r="S199" s="119">
        <v>52</v>
      </c>
      <c r="T199" s="119">
        <v>13</v>
      </c>
      <c r="U199" s="119">
        <v>1.6666666666666667</v>
      </c>
      <c r="V199" s="119">
        <v>0</v>
      </c>
      <c r="W199" s="119">
        <v>1</v>
      </c>
      <c r="X199" s="120">
        <v>0</v>
      </c>
      <c r="Y199" s="120">
        <v>0</v>
      </c>
      <c r="Z199" s="120">
        <v>0</v>
      </c>
      <c r="AC199" s="119">
        <v>0</v>
      </c>
    </row>
    <row r="200" spans="1:29">
      <c r="A200" s="121" t="s">
        <v>349</v>
      </c>
      <c r="B200" s="121" t="s">
        <v>377</v>
      </c>
      <c r="C200" s="121" t="s">
        <v>349</v>
      </c>
      <c r="D200" s="121" t="s">
        <v>362</v>
      </c>
      <c r="E200" s="121" t="s">
        <v>375</v>
      </c>
      <c r="F200" s="121" t="s">
        <v>377</v>
      </c>
      <c r="M200" s="121" t="s">
        <v>378</v>
      </c>
      <c r="N200" s="121" t="s">
        <v>429</v>
      </c>
      <c r="O200" s="118">
        <v>44886</v>
      </c>
      <c r="P200" s="118">
        <v>44918</v>
      </c>
      <c r="Q200" s="118">
        <v>44913</v>
      </c>
      <c r="R200" s="118">
        <v>44919</v>
      </c>
      <c r="S200" s="119">
        <v>52</v>
      </c>
      <c r="T200" s="119">
        <v>13</v>
      </c>
      <c r="U200" s="119">
        <v>1.6666666666666667</v>
      </c>
      <c r="V200" s="119">
        <v>0</v>
      </c>
      <c r="W200" s="119">
        <v>1</v>
      </c>
      <c r="X200" s="120">
        <v>0</v>
      </c>
      <c r="Y200" s="120">
        <v>0</v>
      </c>
      <c r="Z200" s="120">
        <v>0</v>
      </c>
      <c r="AC200" s="119">
        <v>0</v>
      </c>
    </row>
    <row r="201" spans="1:29">
      <c r="A201" s="121" t="s">
        <v>349</v>
      </c>
      <c r="B201" s="121" t="s">
        <v>377</v>
      </c>
      <c r="C201" s="121" t="s">
        <v>349</v>
      </c>
      <c r="D201" s="121" t="s">
        <v>362</v>
      </c>
      <c r="E201" s="121" t="s">
        <v>375</v>
      </c>
      <c r="F201" s="121" t="s">
        <v>377</v>
      </c>
      <c r="M201" s="121" t="s">
        <v>378</v>
      </c>
      <c r="N201" s="121" t="s">
        <v>1612</v>
      </c>
      <c r="O201" s="118">
        <v>44886</v>
      </c>
      <c r="P201" s="118">
        <v>44918</v>
      </c>
      <c r="Q201" s="118">
        <v>44913</v>
      </c>
      <c r="R201" s="118">
        <v>44919</v>
      </c>
      <c r="S201" s="119">
        <v>52</v>
      </c>
      <c r="T201" s="119">
        <v>13</v>
      </c>
      <c r="U201" s="119">
        <v>1.6666666666666667</v>
      </c>
      <c r="V201" s="119">
        <v>0</v>
      </c>
      <c r="W201" s="119">
        <v>1</v>
      </c>
      <c r="X201" s="120">
        <v>0</v>
      </c>
      <c r="Y201" s="120">
        <v>0</v>
      </c>
      <c r="Z201" s="120">
        <v>0</v>
      </c>
      <c r="AC201" s="119">
        <v>0</v>
      </c>
    </row>
    <row r="202" spans="1:29">
      <c r="A202" s="121" t="s">
        <v>349</v>
      </c>
      <c r="B202" s="121" t="s">
        <v>380</v>
      </c>
      <c r="C202" s="121" t="s">
        <v>349</v>
      </c>
      <c r="D202" s="121" t="s">
        <v>362</v>
      </c>
      <c r="E202" s="121" t="s">
        <v>375</v>
      </c>
      <c r="F202" s="121" t="s">
        <v>380</v>
      </c>
      <c r="M202" s="121" t="s">
        <v>381</v>
      </c>
      <c r="N202" s="121" t="s">
        <v>431</v>
      </c>
      <c r="O202" s="118">
        <v>44886</v>
      </c>
      <c r="P202" s="118">
        <v>44918</v>
      </c>
      <c r="Q202" s="118">
        <v>44885</v>
      </c>
      <c r="R202" s="118">
        <v>44891</v>
      </c>
      <c r="S202" s="119">
        <v>48</v>
      </c>
      <c r="T202" s="119">
        <v>9</v>
      </c>
      <c r="U202" s="119">
        <v>1.6666666666666667</v>
      </c>
      <c r="V202" s="119">
        <v>0</v>
      </c>
      <c r="W202" s="119">
        <v>1</v>
      </c>
      <c r="X202" s="120">
        <v>0</v>
      </c>
      <c r="Y202" s="120">
        <v>0</v>
      </c>
      <c r="Z202" s="120">
        <v>0</v>
      </c>
      <c r="AC202" s="119">
        <v>0</v>
      </c>
    </row>
    <row r="203" spans="1:29">
      <c r="A203" s="121" t="s">
        <v>349</v>
      </c>
      <c r="B203" s="121" t="s">
        <v>380</v>
      </c>
      <c r="C203" s="121" t="s">
        <v>349</v>
      </c>
      <c r="D203" s="121" t="s">
        <v>362</v>
      </c>
      <c r="E203" s="121" t="s">
        <v>375</v>
      </c>
      <c r="F203" s="121" t="s">
        <v>380</v>
      </c>
      <c r="M203" s="121" t="s">
        <v>381</v>
      </c>
      <c r="N203" s="121" t="s">
        <v>429</v>
      </c>
      <c r="O203" s="118">
        <v>44886</v>
      </c>
      <c r="P203" s="118">
        <v>44918</v>
      </c>
      <c r="Q203" s="118">
        <v>44885</v>
      </c>
      <c r="R203" s="118">
        <v>44891</v>
      </c>
      <c r="S203" s="119">
        <v>48</v>
      </c>
      <c r="T203" s="119">
        <v>9</v>
      </c>
      <c r="U203" s="119">
        <v>1.6666666666666667</v>
      </c>
      <c r="V203" s="119">
        <v>0</v>
      </c>
      <c r="W203" s="119">
        <v>1</v>
      </c>
      <c r="X203" s="120">
        <v>0</v>
      </c>
      <c r="Y203" s="120">
        <v>0</v>
      </c>
      <c r="Z203" s="120">
        <v>0</v>
      </c>
      <c r="AC203" s="119">
        <v>0</v>
      </c>
    </row>
    <row r="204" spans="1:29">
      <c r="A204" s="121" t="s">
        <v>349</v>
      </c>
      <c r="B204" s="121" t="s">
        <v>380</v>
      </c>
      <c r="C204" s="121" t="s">
        <v>349</v>
      </c>
      <c r="D204" s="121" t="s">
        <v>362</v>
      </c>
      <c r="E204" s="121" t="s">
        <v>375</v>
      </c>
      <c r="F204" s="121" t="s">
        <v>380</v>
      </c>
      <c r="M204" s="121" t="s">
        <v>381</v>
      </c>
      <c r="N204" s="121" t="s">
        <v>1612</v>
      </c>
      <c r="O204" s="118">
        <v>44886</v>
      </c>
      <c r="P204" s="118">
        <v>44918</v>
      </c>
      <c r="Q204" s="118">
        <v>44885</v>
      </c>
      <c r="R204" s="118">
        <v>44891</v>
      </c>
      <c r="S204" s="119">
        <v>48</v>
      </c>
      <c r="T204" s="119">
        <v>9</v>
      </c>
      <c r="U204" s="119">
        <v>1.6666666666666667</v>
      </c>
      <c r="V204" s="119">
        <v>0</v>
      </c>
      <c r="W204" s="119">
        <v>1</v>
      </c>
      <c r="X204" s="120">
        <v>0</v>
      </c>
      <c r="Y204" s="120">
        <v>0</v>
      </c>
      <c r="Z204" s="120">
        <v>0</v>
      </c>
      <c r="AC204" s="119">
        <v>0</v>
      </c>
    </row>
    <row r="205" spans="1:29">
      <c r="A205" s="121" t="s">
        <v>349</v>
      </c>
      <c r="B205" s="121" t="s">
        <v>380</v>
      </c>
      <c r="C205" s="121" t="s">
        <v>349</v>
      </c>
      <c r="D205" s="121" t="s">
        <v>362</v>
      </c>
      <c r="E205" s="121" t="s">
        <v>375</v>
      </c>
      <c r="F205" s="121" t="s">
        <v>380</v>
      </c>
      <c r="M205" s="121" t="s">
        <v>381</v>
      </c>
      <c r="N205" s="121" t="s">
        <v>431</v>
      </c>
      <c r="O205" s="118">
        <v>44886</v>
      </c>
      <c r="P205" s="118">
        <v>44918</v>
      </c>
      <c r="Q205" s="118">
        <v>44892</v>
      </c>
      <c r="R205" s="118">
        <v>44898</v>
      </c>
      <c r="S205" s="119">
        <v>49</v>
      </c>
      <c r="T205" s="119">
        <v>10</v>
      </c>
      <c r="U205" s="119">
        <v>1.6666666666666667</v>
      </c>
      <c r="V205" s="119">
        <v>0</v>
      </c>
      <c r="W205" s="119">
        <v>1</v>
      </c>
      <c r="X205" s="120">
        <v>0</v>
      </c>
      <c r="Y205" s="120">
        <v>0</v>
      </c>
      <c r="Z205" s="120">
        <v>0</v>
      </c>
      <c r="AC205" s="119">
        <v>0</v>
      </c>
    </row>
    <row r="206" spans="1:29">
      <c r="A206" s="121" t="s">
        <v>349</v>
      </c>
      <c r="B206" s="121" t="s">
        <v>380</v>
      </c>
      <c r="C206" s="121" t="s">
        <v>349</v>
      </c>
      <c r="D206" s="121" t="s">
        <v>362</v>
      </c>
      <c r="E206" s="121" t="s">
        <v>375</v>
      </c>
      <c r="F206" s="121" t="s">
        <v>380</v>
      </c>
      <c r="M206" s="121" t="s">
        <v>381</v>
      </c>
      <c r="N206" s="121" t="s">
        <v>429</v>
      </c>
      <c r="O206" s="118">
        <v>44886</v>
      </c>
      <c r="P206" s="118">
        <v>44918</v>
      </c>
      <c r="Q206" s="118">
        <v>44892</v>
      </c>
      <c r="R206" s="118">
        <v>44898</v>
      </c>
      <c r="S206" s="119">
        <v>49</v>
      </c>
      <c r="T206" s="119">
        <v>10</v>
      </c>
      <c r="U206" s="119">
        <v>1.6666666666666667</v>
      </c>
      <c r="V206" s="119">
        <v>0</v>
      </c>
      <c r="W206" s="119">
        <v>1</v>
      </c>
      <c r="X206" s="120">
        <v>0</v>
      </c>
      <c r="Y206" s="120">
        <v>0</v>
      </c>
      <c r="Z206" s="120">
        <v>0</v>
      </c>
      <c r="AC206" s="119">
        <v>0</v>
      </c>
    </row>
    <row r="207" spans="1:29">
      <c r="A207" s="121" t="s">
        <v>349</v>
      </c>
      <c r="B207" s="121" t="s">
        <v>380</v>
      </c>
      <c r="C207" s="121" t="s">
        <v>349</v>
      </c>
      <c r="D207" s="121" t="s">
        <v>362</v>
      </c>
      <c r="E207" s="121" t="s">
        <v>375</v>
      </c>
      <c r="F207" s="121" t="s">
        <v>380</v>
      </c>
      <c r="M207" s="121" t="s">
        <v>381</v>
      </c>
      <c r="N207" s="121" t="s">
        <v>1612</v>
      </c>
      <c r="O207" s="118">
        <v>44886</v>
      </c>
      <c r="P207" s="118">
        <v>44918</v>
      </c>
      <c r="Q207" s="118">
        <v>44892</v>
      </c>
      <c r="R207" s="118">
        <v>44898</v>
      </c>
      <c r="S207" s="119">
        <v>49</v>
      </c>
      <c r="T207" s="119">
        <v>10</v>
      </c>
      <c r="U207" s="119">
        <v>1.6666666666666667</v>
      </c>
      <c r="V207" s="119">
        <v>0</v>
      </c>
      <c r="W207" s="119">
        <v>1</v>
      </c>
      <c r="X207" s="120">
        <v>0</v>
      </c>
      <c r="Y207" s="120">
        <v>0</v>
      </c>
      <c r="Z207" s="120">
        <v>0</v>
      </c>
      <c r="AC207" s="119">
        <v>0</v>
      </c>
    </row>
    <row r="208" spans="1:29">
      <c r="A208" s="121" t="s">
        <v>349</v>
      </c>
      <c r="B208" s="121" t="s">
        <v>380</v>
      </c>
      <c r="C208" s="121" t="s">
        <v>349</v>
      </c>
      <c r="D208" s="121" t="s">
        <v>362</v>
      </c>
      <c r="E208" s="121" t="s">
        <v>375</v>
      </c>
      <c r="F208" s="121" t="s">
        <v>380</v>
      </c>
      <c r="M208" s="121" t="s">
        <v>381</v>
      </c>
      <c r="N208" s="121" t="s">
        <v>431</v>
      </c>
      <c r="O208" s="118">
        <v>44886</v>
      </c>
      <c r="P208" s="118">
        <v>44918</v>
      </c>
      <c r="Q208" s="118">
        <v>44899</v>
      </c>
      <c r="R208" s="118">
        <v>44905</v>
      </c>
      <c r="S208" s="119">
        <v>50</v>
      </c>
      <c r="T208" s="119">
        <v>11</v>
      </c>
      <c r="U208" s="119">
        <v>1.6666666666666667</v>
      </c>
      <c r="V208" s="119">
        <v>0</v>
      </c>
      <c r="W208" s="119">
        <v>1</v>
      </c>
      <c r="X208" s="120">
        <v>0</v>
      </c>
      <c r="Y208" s="120">
        <v>0</v>
      </c>
      <c r="Z208" s="120">
        <v>0</v>
      </c>
      <c r="AC208" s="119">
        <v>0</v>
      </c>
    </row>
    <row r="209" spans="1:29">
      <c r="A209" s="121" t="s">
        <v>349</v>
      </c>
      <c r="B209" s="121" t="s">
        <v>380</v>
      </c>
      <c r="C209" s="121" t="s">
        <v>349</v>
      </c>
      <c r="D209" s="121" t="s">
        <v>362</v>
      </c>
      <c r="E209" s="121" t="s">
        <v>375</v>
      </c>
      <c r="F209" s="121" t="s">
        <v>380</v>
      </c>
      <c r="M209" s="121" t="s">
        <v>381</v>
      </c>
      <c r="N209" s="121" t="s">
        <v>429</v>
      </c>
      <c r="O209" s="118">
        <v>44886</v>
      </c>
      <c r="P209" s="118">
        <v>44918</v>
      </c>
      <c r="Q209" s="118">
        <v>44899</v>
      </c>
      <c r="R209" s="118">
        <v>44905</v>
      </c>
      <c r="S209" s="119">
        <v>50</v>
      </c>
      <c r="T209" s="119">
        <v>11</v>
      </c>
      <c r="U209" s="119">
        <v>1.6666666666666667</v>
      </c>
      <c r="V209" s="119">
        <v>0</v>
      </c>
      <c r="W209" s="119">
        <v>1</v>
      </c>
      <c r="X209" s="120">
        <v>0</v>
      </c>
      <c r="Y209" s="120">
        <v>0</v>
      </c>
      <c r="Z209" s="120">
        <v>0</v>
      </c>
      <c r="AC209" s="119">
        <v>0</v>
      </c>
    </row>
    <row r="210" spans="1:29">
      <c r="A210" s="121" t="s">
        <v>349</v>
      </c>
      <c r="B210" s="121" t="s">
        <v>380</v>
      </c>
      <c r="C210" s="121" t="s">
        <v>349</v>
      </c>
      <c r="D210" s="121" t="s">
        <v>362</v>
      </c>
      <c r="E210" s="121" t="s">
        <v>375</v>
      </c>
      <c r="F210" s="121" t="s">
        <v>380</v>
      </c>
      <c r="M210" s="121" t="s">
        <v>381</v>
      </c>
      <c r="N210" s="121" t="s">
        <v>1612</v>
      </c>
      <c r="O210" s="118">
        <v>44886</v>
      </c>
      <c r="P210" s="118">
        <v>44918</v>
      </c>
      <c r="Q210" s="118">
        <v>44899</v>
      </c>
      <c r="R210" s="118">
        <v>44905</v>
      </c>
      <c r="S210" s="119">
        <v>50</v>
      </c>
      <c r="T210" s="119">
        <v>11</v>
      </c>
      <c r="U210" s="119">
        <v>1.6666666666666667</v>
      </c>
      <c r="V210" s="119">
        <v>0</v>
      </c>
      <c r="W210" s="119">
        <v>1</v>
      </c>
      <c r="X210" s="120">
        <v>0</v>
      </c>
      <c r="Y210" s="120">
        <v>0</v>
      </c>
      <c r="Z210" s="120">
        <v>0</v>
      </c>
      <c r="AC210" s="119">
        <v>0</v>
      </c>
    </row>
    <row r="211" spans="1:29">
      <c r="A211" s="121" t="s">
        <v>349</v>
      </c>
      <c r="B211" s="121" t="s">
        <v>380</v>
      </c>
      <c r="C211" s="121" t="s">
        <v>349</v>
      </c>
      <c r="D211" s="121" t="s">
        <v>362</v>
      </c>
      <c r="E211" s="121" t="s">
        <v>375</v>
      </c>
      <c r="F211" s="121" t="s">
        <v>380</v>
      </c>
      <c r="M211" s="121" t="s">
        <v>381</v>
      </c>
      <c r="N211" s="121" t="s">
        <v>431</v>
      </c>
      <c r="O211" s="118">
        <v>44886</v>
      </c>
      <c r="P211" s="118">
        <v>44918</v>
      </c>
      <c r="Q211" s="118">
        <v>44906</v>
      </c>
      <c r="R211" s="118">
        <v>44912</v>
      </c>
      <c r="S211" s="119">
        <v>51</v>
      </c>
      <c r="T211" s="119">
        <v>12</v>
      </c>
      <c r="U211" s="119">
        <v>1.6666666666666667</v>
      </c>
      <c r="V211" s="119">
        <v>0</v>
      </c>
      <c r="W211" s="119">
        <v>1</v>
      </c>
      <c r="X211" s="120">
        <v>0</v>
      </c>
      <c r="Y211" s="120">
        <v>0</v>
      </c>
      <c r="Z211" s="120">
        <v>0</v>
      </c>
      <c r="AC211" s="119">
        <v>0</v>
      </c>
    </row>
    <row r="212" spans="1:29">
      <c r="A212" s="121" t="s">
        <v>349</v>
      </c>
      <c r="B212" s="121" t="s">
        <v>380</v>
      </c>
      <c r="C212" s="121" t="s">
        <v>349</v>
      </c>
      <c r="D212" s="121" t="s">
        <v>362</v>
      </c>
      <c r="E212" s="121" t="s">
        <v>375</v>
      </c>
      <c r="F212" s="121" t="s">
        <v>380</v>
      </c>
      <c r="M212" s="121" t="s">
        <v>381</v>
      </c>
      <c r="N212" s="121" t="s">
        <v>429</v>
      </c>
      <c r="O212" s="118">
        <v>44886</v>
      </c>
      <c r="P212" s="118">
        <v>44918</v>
      </c>
      <c r="Q212" s="118">
        <v>44906</v>
      </c>
      <c r="R212" s="118">
        <v>44912</v>
      </c>
      <c r="S212" s="119">
        <v>51</v>
      </c>
      <c r="T212" s="119">
        <v>12</v>
      </c>
      <c r="U212" s="119">
        <v>1.6666666666666667</v>
      </c>
      <c r="V212" s="119">
        <v>0</v>
      </c>
      <c r="W212" s="119">
        <v>1</v>
      </c>
      <c r="X212" s="120">
        <v>0</v>
      </c>
      <c r="Y212" s="120">
        <v>0</v>
      </c>
      <c r="Z212" s="120">
        <v>0</v>
      </c>
      <c r="AC212" s="119">
        <v>0</v>
      </c>
    </row>
    <row r="213" spans="1:29">
      <c r="A213" s="121" t="s">
        <v>349</v>
      </c>
      <c r="B213" s="121" t="s">
        <v>380</v>
      </c>
      <c r="C213" s="121" t="s">
        <v>349</v>
      </c>
      <c r="D213" s="121" t="s">
        <v>362</v>
      </c>
      <c r="E213" s="121" t="s">
        <v>375</v>
      </c>
      <c r="F213" s="121" t="s">
        <v>380</v>
      </c>
      <c r="M213" s="121" t="s">
        <v>381</v>
      </c>
      <c r="N213" s="121" t="s">
        <v>1612</v>
      </c>
      <c r="O213" s="118">
        <v>44886</v>
      </c>
      <c r="P213" s="118">
        <v>44918</v>
      </c>
      <c r="Q213" s="118">
        <v>44906</v>
      </c>
      <c r="R213" s="118">
        <v>44912</v>
      </c>
      <c r="S213" s="119">
        <v>51</v>
      </c>
      <c r="T213" s="119">
        <v>12</v>
      </c>
      <c r="U213" s="119">
        <v>1.6666666666666667</v>
      </c>
      <c r="V213" s="119">
        <v>0</v>
      </c>
      <c r="W213" s="119">
        <v>1</v>
      </c>
      <c r="X213" s="120">
        <v>0</v>
      </c>
      <c r="Y213" s="120">
        <v>0</v>
      </c>
      <c r="Z213" s="120">
        <v>0</v>
      </c>
      <c r="AC213" s="119">
        <v>0</v>
      </c>
    </row>
    <row r="214" spans="1:29">
      <c r="A214" s="121" t="s">
        <v>349</v>
      </c>
      <c r="B214" s="121" t="s">
        <v>380</v>
      </c>
      <c r="C214" s="121" t="s">
        <v>349</v>
      </c>
      <c r="D214" s="121" t="s">
        <v>362</v>
      </c>
      <c r="E214" s="121" t="s">
        <v>375</v>
      </c>
      <c r="F214" s="121" t="s">
        <v>380</v>
      </c>
      <c r="M214" s="121" t="s">
        <v>381</v>
      </c>
      <c r="N214" s="121" t="s">
        <v>431</v>
      </c>
      <c r="O214" s="118">
        <v>44886</v>
      </c>
      <c r="P214" s="118">
        <v>44918</v>
      </c>
      <c r="Q214" s="118">
        <v>44913</v>
      </c>
      <c r="R214" s="118">
        <v>44919</v>
      </c>
      <c r="S214" s="119">
        <v>52</v>
      </c>
      <c r="T214" s="119">
        <v>13</v>
      </c>
      <c r="U214" s="119">
        <v>1.6666666666666667</v>
      </c>
      <c r="V214" s="119">
        <v>0</v>
      </c>
      <c r="W214" s="119">
        <v>1</v>
      </c>
      <c r="X214" s="120">
        <v>0</v>
      </c>
      <c r="Y214" s="120">
        <v>0</v>
      </c>
      <c r="Z214" s="120">
        <v>0</v>
      </c>
      <c r="AC214" s="119">
        <v>0</v>
      </c>
    </row>
    <row r="215" spans="1:29">
      <c r="A215" s="121" t="s">
        <v>349</v>
      </c>
      <c r="B215" s="121" t="s">
        <v>380</v>
      </c>
      <c r="C215" s="121" t="s">
        <v>349</v>
      </c>
      <c r="D215" s="121" t="s">
        <v>362</v>
      </c>
      <c r="E215" s="121" t="s">
        <v>375</v>
      </c>
      <c r="F215" s="121" t="s">
        <v>380</v>
      </c>
      <c r="M215" s="121" t="s">
        <v>381</v>
      </c>
      <c r="N215" s="121" t="s">
        <v>429</v>
      </c>
      <c r="O215" s="118">
        <v>44886</v>
      </c>
      <c r="P215" s="118">
        <v>44918</v>
      </c>
      <c r="Q215" s="118">
        <v>44913</v>
      </c>
      <c r="R215" s="118">
        <v>44919</v>
      </c>
      <c r="S215" s="119">
        <v>52</v>
      </c>
      <c r="T215" s="119">
        <v>13</v>
      </c>
      <c r="U215" s="119">
        <v>1.6666666666666667</v>
      </c>
      <c r="V215" s="119">
        <v>0</v>
      </c>
      <c r="W215" s="119">
        <v>1</v>
      </c>
      <c r="X215" s="120">
        <v>0</v>
      </c>
      <c r="Y215" s="120">
        <v>0</v>
      </c>
      <c r="Z215" s="120">
        <v>0</v>
      </c>
      <c r="AC215" s="119">
        <v>0</v>
      </c>
    </row>
    <row r="216" spans="1:29">
      <c r="A216" s="121" t="s">
        <v>349</v>
      </c>
      <c r="B216" s="121" t="s">
        <v>380</v>
      </c>
      <c r="C216" s="121" t="s">
        <v>349</v>
      </c>
      <c r="D216" s="121" t="s">
        <v>362</v>
      </c>
      <c r="E216" s="121" t="s">
        <v>375</v>
      </c>
      <c r="F216" s="121" t="s">
        <v>380</v>
      </c>
      <c r="M216" s="121" t="s">
        <v>381</v>
      </c>
      <c r="N216" s="121" t="s">
        <v>1612</v>
      </c>
      <c r="O216" s="118">
        <v>44886</v>
      </c>
      <c r="P216" s="118">
        <v>44918</v>
      </c>
      <c r="Q216" s="118">
        <v>44913</v>
      </c>
      <c r="R216" s="118">
        <v>44919</v>
      </c>
      <c r="S216" s="119">
        <v>52</v>
      </c>
      <c r="T216" s="119">
        <v>13</v>
      </c>
      <c r="U216" s="119">
        <v>1.6666666666666667</v>
      </c>
      <c r="V216" s="119">
        <v>0</v>
      </c>
      <c r="W216" s="119">
        <v>1</v>
      </c>
      <c r="X216" s="120">
        <v>0</v>
      </c>
      <c r="Y216" s="120">
        <v>0</v>
      </c>
      <c r="Z216" s="120">
        <v>0</v>
      </c>
      <c r="AC216" s="119">
        <v>0</v>
      </c>
    </row>
    <row r="217" spans="1:29">
      <c r="A217" s="121" t="s">
        <v>349</v>
      </c>
      <c r="B217" s="121" t="s">
        <v>383</v>
      </c>
      <c r="C217" s="121" t="s">
        <v>349</v>
      </c>
      <c r="D217" s="121" t="s">
        <v>362</v>
      </c>
      <c r="E217" s="121" t="s">
        <v>375</v>
      </c>
      <c r="F217" s="121" t="s">
        <v>383</v>
      </c>
      <c r="M217" s="121" t="s">
        <v>384</v>
      </c>
      <c r="N217" s="121" t="s">
        <v>431</v>
      </c>
      <c r="O217" s="118">
        <v>44921</v>
      </c>
      <c r="P217" s="118">
        <v>44946</v>
      </c>
      <c r="Q217" s="118">
        <v>44920</v>
      </c>
      <c r="R217" s="118">
        <v>44926</v>
      </c>
      <c r="S217" s="119">
        <v>53</v>
      </c>
      <c r="T217" s="119">
        <v>14</v>
      </c>
      <c r="U217" s="119">
        <v>1.6666666666666667</v>
      </c>
      <c r="V217" s="119">
        <v>0</v>
      </c>
      <c r="W217" s="119">
        <v>1</v>
      </c>
      <c r="X217" s="120">
        <v>0</v>
      </c>
      <c r="Y217" s="120">
        <v>0</v>
      </c>
      <c r="Z217" s="120">
        <v>0</v>
      </c>
      <c r="AC217" s="119">
        <v>0</v>
      </c>
    </row>
    <row r="218" spans="1:29">
      <c r="A218" s="121" t="s">
        <v>349</v>
      </c>
      <c r="B218" s="121" t="s">
        <v>383</v>
      </c>
      <c r="C218" s="121" t="s">
        <v>349</v>
      </c>
      <c r="D218" s="121" t="s">
        <v>362</v>
      </c>
      <c r="E218" s="121" t="s">
        <v>375</v>
      </c>
      <c r="F218" s="121" t="s">
        <v>383</v>
      </c>
      <c r="M218" s="121" t="s">
        <v>384</v>
      </c>
      <c r="N218" s="121" t="s">
        <v>429</v>
      </c>
      <c r="O218" s="118">
        <v>44921</v>
      </c>
      <c r="P218" s="118">
        <v>44946</v>
      </c>
      <c r="Q218" s="118">
        <v>44920</v>
      </c>
      <c r="R218" s="118">
        <v>44926</v>
      </c>
      <c r="S218" s="119">
        <v>53</v>
      </c>
      <c r="T218" s="119">
        <v>14</v>
      </c>
      <c r="U218" s="119">
        <v>1.6666666666666667</v>
      </c>
      <c r="V218" s="119">
        <v>0</v>
      </c>
      <c r="W218" s="119">
        <v>1</v>
      </c>
      <c r="X218" s="120">
        <v>0</v>
      </c>
      <c r="Y218" s="120">
        <v>0</v>
      </c>
      <c r="Z218" s="120">
        <v>0</v>
      </c>
      <c r="AC218" s="119">
        <v>0</v>
      </c>
    </row>
    <row r="219" spans="1:29">
      <c r="A219" s="121" t="s">
        <v>349</v>
      </c>
      <c r="B219" s="121" t="s">
        <v>383</v>
      </c>
      <c r="C219" s="121" t="s">
        <v>349</v>
      </c>
      <c r="D219" s="121" t="s">
        <v>362</v>
      </c>
      <c r="E219" s="121" t="s">
        <v>375</v>
      </c>
      <c r="F219" s="121" t="s">
        <v>383</v>
      </c>
      <c r="M219" s="121" t="s">
        <v>384</v>
      </c>
      <c r="N219" s="121" t="s">
        <v>1612</v>
      </c>
      <c r="O219" s="118">
        <v>44921</v>
      </c>
      <c r="P219" s="118">
        <v>44946</v>
      </c>
      <c r="Q219" s="118">
        <v>44920</v>
      </c>
      <c r="R219" s="118">
        <v>44926</v>
      </c>
      <c r="S219" s="119">
        <v>53</v>
      </c>
      <c r="T219" s="119">
        <v>14</v>
      </c>
      <c r="U219" s="119">
        <v>1.6666666666666667</v>
      </c>
      <c r="V219" s="119">
        <v>0</v>
      </c>
      <c r="W219" s="119">
        <v>1</v>
      </c>
      <c r="X219" s="120">
        <v>0</v>
      </c>
      <c r="Y219" s="120">
        <v>0</v>
      </c>
      <c r="Z219" s="120">
        <v>0</v>
      </c>
      <c r="AC219" s="119">
        <v>0</v>
      </c>
    </row>
    <row r="220" spans="1:29">
      <c r="A220" s="121" t="s">
        <v>349</v>
      </c>
      <c r="B220" s="121" t="s">
        <v>383</v>
      </c>
      <c r="C220" s="121" t="s">
        <v>349</v>
      </c>
      <c r="D220" s="121" t="s">
        <v>362</v>
      </c>
      <c r="E220" s="121" t="s">
        <v>375</v>
      </c>
      <c r="F220" s="121" t="s">
        <v>383</v>
      </c>
      <c r="M220" s="121" t="s">
        <v>384</v>
      </c>
      <c r="N220" s="121" t="s">
        <v>431</v>
      </c>
      <c r="O220" s="118">
        <v>44921</v>
      </c>
      <c r="P220" s="118">
        <v>44946</v>
      </c>
      <c r="Q220" s="118">
        <v>44927</v>
      </c>
      <c r="R220" s="118">
        <v>44933</v>
      </c>
      <c r="S220" s="119">
        <v>1</v>
      </c>
      <c r="T220" s="119">
        <v>15</v>
      </c>
      <c r="U220" s="119">
        <v>1.6666666666666667</v>
      </c>
      <c r="V220" s="119">
        <v>0</v>
      </c>
      <c r="W220" s="119">
        <v>1</v>
      </c>
      <c r="X220" s="120">
        <v>0</v>
      </c>
      <c r="Y220" s="120">
        <v>0</v>
      </c>
      <c r="Z220" s="120">
        <v>0</v>
      </c>
      <c r="AC220" s="119">
        <v>0</v>
      </c>
    </row>
    <row r="221" spans="1:29">
      <c r="A221" s="121" t="s">
        <v>349</v>
      </c>
      <c r="B221" s="121" t="s">
        <v>383</v>
      </c>
      <c r="C221" s="121" t="s">
        <v>349</v>
      </c>
      <c r="D221" s="121" t="s">
        <v>362</v>
      </c>
      <c r="E221" s="121" t="s">
        <v>375</v>
      </c>
      <c r="F221" s="121" t="s">
        <v>383</v>
      </c>
      <c r="M221" s="121" t="s">
        <v>384</v>
      </c>
      <c r="N221" s="121" t="s">
        <v>429</v>
      </c>
      <c r="O221" s="118">
        <v>44921</v>
      </c>
      <c r="P221" s="118">
        <v>44946</v>
      </c>
      <c r="Q221" s="118">
        <v>44927</v>
      </c>
      <c r="R221" s="118">
        <v>44933</v>
      </c>
      <c r="S221" s="119">
        <v>1</v>
      </c>
      <c r="T221" s="119">
        <v>15</v>
      </c>
      <c r="U221" s="119">
        <v>1.6666666666666667</v>
      </c>
      <c r="V221" s="119">
        <v>0</v>
      </c>
      <c r="W221" s="119">
        <v>1</v>
      </c>
      <c r="X221" s="120">
        <v>0</v>
      </c>
      <c r="Y221" s="120">
        <v>0</v>
      </c>
      <c r="Z221" s="120">
        <v>0</v>
      </c>
      <c r="AC221" s="119">
        <v>0</v>
      </c>
    </row>
    <row r="222" spans="1:29">
      <c r="A222" s="121" t="s">
        <v>349</v>
      </c>
      <c r="B222" s="121" t="s">
        <v>383</v>
      </c>
      <c r="C222" s="121" t="s">
        <v>349</v>
      </c>
      <c r="D222" s="121" t="s">
        <v>362</v>
      </c>
      <c r="E222" s="121" t="s">
        <v>375</v>
      </c>
      <c r="F222" s="121" t="s">
        <v>383</v>
      </c>
      <c r="M222" s="121" t="s">
        <v>384</v>
      </c>
      <c r="N222" s="121" t="s">
        <v>1612</v>
      </c>
      <c r="O222" s="118">
        <v>44921</v>
      </c>
      <c r="P222" s="118">
        <v>44946</v>
      </c>
      <c r="Q222" s="118">
        <v>44927</v>
      </c>
      <c r="R222" s="118">
        <v>44933</v>
      </c>
      <c r="S222" s="119">
        <v>1</v>
      </c>
      <c r="T222" s="119">
        <v>15</v>
      </c>
      <c r="U222" s="119">
        <v>1.6666666666666667</v>
      </c>
      <c r="V222" s="119">
        <v>0</v>
      </c>
      <c r="W222" s="119">
        <v>1</v>
      </c>
      <c r="X222" s="120">
        <v>0</v>
      </c>
      <c r="Y222" s="120">
        <v>0</v>
      </c>
      <c r="Z222" s="120">
        <v>0</v>
      </c>
      <c r="AC222" s="119">
        <v>0</v>
      </c>
    </row>
    <row r="223" spans="1:29">
      <c r="A223" s="121" t="s">
        <v>349</v>
      </c>
      <c r="B223" s="121" t="s">
        <v>383</v>
      </c>
      <c r="C223" s="121" t="s">
        <v>349</v>
      </c>
      <c r="D223" s="121" t="s">
        <v>362</v>
      </c>
      <c r="E223" s="121" t="s">
        <v>375</v>
      </c>
      <c r="F223" s="121" t="s">
        <v>383</v>
      </c>
      <c r="M223" s="121" t="s">
        <v>384</v>
      </c>
      <c r="N223" s="121" t="s">
        <v>431</v>
      </c>
      <c r="O223" s="118">
        <v>44921</v>
      </c>
      <c r="P223" s="118">
        <v>44946</v>
      </c>
      <c r="Q223" s="118">
        <v>44934</v>
      </c>
      <c r="R223" s="118">
        <v>44940</v>
      </c>
      <c r="S223" s="119">
        <v>2</v>
      </c>
      <c r="T223" s="119">
        <v>16</v>
      </c>
      <c r="U223" s="119">
        <v>1.6666666666666667</v>
      </c>
      <c r="V223" s="119">
        <v>0</v>
      </c>
      <c r="W223" s="119">
        <v>1</v>
      </c>
      <c r="X223" s="120">
        <v>0</v>
      </c>
      <c r="Y223" s="120">
        <v>0</v>
      </c>
      <c r="Z223" s="120">
        <v>0</v>
      </c>
      <c r="AC223" s="119">
        <v>0</v>
      </c>
    </row>
    <row r="224" spans="1:29">
      <c r="A224" s="121" t="s">
        <v>349</v>
      </c>
      <c r="B224" s="121" t="s">
        <v>383</v>
      </c>
      <c r="C224" s="121" t="s">
        <v>349</v>
      </c>
      <c r="D224" s="121" t="s">
        <v>362</v>
      </c>
      <c r="E224" s="121" t="s">
        <v>375</v>
      </c>
      <c r="F224" s="121" t="s">
        <v>383</v>
      </c>
      <c r="M224" s="121" t="s">
        <v>384</v>
      </c>
      <c r="N224" s="121" t="s">
        <v>429</v>
      </c>
      <c r="O224" s="118">
        <v>44921</v>
      </c>
      <c r="P224" s="118">
        <v>44946</v>
      </c>
      <c r="Q224" s="118">
        <v>44934</v>
      </c>
      <c r="R224" s="118">
        <v>44940</v>
      </c>
      <c r="S224" s="119">
        <v>2</v>
      </c>
      <c r="T224" s="119">
        <v>16</v>
      </c>
      <c r="U224" s="119">
        <v>1.6666666666666667</v>
      </c>
      <c r="V224" s="119">
        <v>0</v>
      </c>
      <c r="W224" s="119">
        <v>1</v>
      </c>
      <c r="X224" s="120">
        <v>0</v>
      </c>
      <c r="Y224" s="120">
        <v>0</v>
      </c>
      <c r="Z224" s="120">
        <v>0</v>
      </c>
      <c r="AC224" s="119">
        <v>0</v>
      </c>
    </row>
    <row r="225" spans="1:29">
      <c r="A225" s="121" t="s">
        <v>349</v>
      </c>
      <c r="B225" s="121" t="s">
        <v>383</v>
      </c>
      <c r="C225" s="121" t="s">
        <v>349</v>
      </c>
      <c r="D225" s="121" t="s">
        <v>362</v>
      </c>
      <c r="E225" s="121" t="s">
        <v>375</v>
      </c>
      <c r="F225" s="121" t="s">
        <v>383</v>
      </c>
      <c r="M225" s="121" t="s">
        <v>384</v>
      </c>
      <c r="N225" s="121" t="s">
        <v>1612</v>
      </c>
      <c r="O225" s="118">
        <v>44921</v>
      </c>
      <c r="P225" s="118">
        <v>44946</v>
      </c>
      <c r="Q225" s="118">
        <v>44934</v>
      </c>
      <c r="R225" s="118">
        <v>44940</v>
      </c>
      <c r="S225" s="119">
        <v>2</v>
      </c>
      <c r="T225" s="119">
        <v>16</v>
      </c>
      <c r="U225" s="119">
        <v>1.6666666666666667</v>
      </c>
      <c r="V225" s="119">
        <v>0</v>
      </c>
      <c r="W225" s="119">
        <v>1</v>
      </c>
      <c r="X225" s="120">
        <v>0</v>
      </c>
      <c r="Y225" s="120">
        <v>0</v>
      </c>
      <c r="Z225" s="120">
        <v>0</v>
      </c>
      <c r="AC225" s="119">
        <v>0</v>
      </c>
    </row>
    <row r="226" spans="1:29">
      <c r="A226" s="121" t="s">
        <v>349</v>
      </c>
      <c r="B226" s="121" t="s">
        <v>383</v>
      </c>
      <c r="C226" s="121" t="s">
        <v>349</v>
      </c>
      <c r="D226" s="121" t="s">
        <v>362</v>
      </c>
      <c r="E226" s="121" t="s">
        <v>375</v>
      </c>
      <c r="F226" s="121" t="s">
        <v>383</v>
      </c>
      <c r="M226" s="121" t="s">
        <v>384</v>
      </c>
      <c r="N226" s="121" t="s">
        <v>431</v>
      </c>
      <c r="O226" s="118">
        <v>44921</v>
      </c>
      <c r="P226" s="118">
        <v>44946</v>
      </c>
      <c r="Q226" s="118">
        <v>44941</v>
      </c>
      <c r="R226" s="118">
        <v>44947</v>
      </c>
      <c r="S226" s="119">
        <v>3</v>
      </c>
      <c r="T226" s="119">
        <v>17</v>
      </c>
      <c r="U226" s="119">
        <v>1.6666666666666667</v>
      </c>
      <c r="V226" s="119">
        <v>0</v>
      </c>
      <c r="W226" s="119">
        <v>1</v>
      </c>
      <c r="X226" s="120">
        <v>0</v>
      </c>
      <c r="Y226" s="120">
        <v>0</v>
      </c>
      <c r="Z226" s="120">
        <v>0</v>
      </c>
      <c r="AC226" s="119">
        <v>0</v>
      </c>
    </row>
    <row r="227" spans="1:29">
      <c r="A227" s="121" t="s">
        <v>349</v>
      </c>
      <c r="B227" s="121" t="s">
        <v>383</v>
      </c>
      <c r="C227" s="121" t="s">
        <v>349</v>
      </c>
      <c r="D227" s="121" t="s">
        <v>362</v>
      </c>
      <c r="E227" s="121" t="s">
        <v>375</v>
      </c>
      <c r="F227" s="121" t="s">
        <v>383</v>
      </c>
      <c r="M227" s="121" t="s">
        <v>384</v>
      </c>
      <c r="N227" s="121" t="s">
        <v>429</v>
      </c>
      <c r="O227" s="118">
        <v>44921</v>
      </c>
      <c r="P227" s="118">
        <v>44946</v>
      </c>
      <c r="Q227" s="118">
        <v>44941</v>
      </c>
      <c r="R227" s="118">
        <v>44947</v>
      </c>
      <c r="S227" s="119">
        <v>3</v>
      </c>
      <c r="T227" s="119">
        <v>17</v>
      </c>
      <c r="U227" s="119">
        <v>1.6666666666666667</v>
      </c>
      <c r="V227" s="119">
        <v>0</v>
      </c>
      <c r="W227" s="119">
        <v>1</v>
      </c>
      <c r="X227" s="120">
        <v>0</v>
      </c>
      <c r="Y227" s="120">
        <v>0</v>
      </c>
      <c r="Z227" s="120">
        <v>0</v>
      </c>
      <c r="AC227" s="119">
        <v>0</v>
      </c>
    </row>
    <row r="228" spans="1:29">
      <c r="A228" s="121" t="s">
        <v>349</v>
      </c>
      <c r="B228" s="121" t="s">
        <v>383</v>
      </c>
      <c r="C228" s="121" t="s">
        <v>349</v>
      </c>
      <c r="D228" s="121" t="s">
        <v>362</v>
      </c>
      <c r="E228" s="121" t="s">
        <v>375</v>
      </c>
      <c r="F228" s="121" t="s">
        <v>383</v>
      </c>
      <c r="M228" s="121" t="s">
        <v>384</v>
      </c>
      <c r="N228" s="121" t="s">
        <v>1612</v>
      </c>
      <c r="O228" s="118">
        <v>44921</v>
      </c>
      <c r="P228" s="118">
        <v>44946</v>
      </c>
      <c r="Q228" s="118">
        <v>44941</v>
      </c>
      <c r="R228" s="118">
        <v>44947</v>
      </c>
      <c r="S228" s="119">
        <v>3</v>
      </c>
      <c r="T228" s="119">
        <v>17</v>
      </c>
      <c r="U228" s="119">
        <v>1.6666666666666667</v>
      </c>
      <c r="V228" s="119">
        <v>0</v>
      </c>
      <c r="W228" s="119">
        <v>1</v>
      </c>
      <c r="X228" s="120">
        <v>0</v>
      </c>
      <c r="Y228" s="120">
        <v>0</v>
      </c>
      <c r="Z228" s="120">
        <v>0</v>
      </c>
      <c r="AC228" s="119">
        <v>0</v>
      </c>
    </row>
    <row r="229" spans="1:29">
      <c r="A229" s="121" t="s">
        <v>272</v>
      </c>
      <c r="B229" s="121" t="s">
        <v>389</v>
      </c>
      <c r="C229" s="121" t="s">
        <v>349</v>
      </c>
      <c r="D229" s="121" t="s">
        <v>386</v>
      </c>
      <c r="E229" s="121" t="s">
        <v>389</v>
      </c>
      <c r="M229" s="121" t="s">
        <v>390</v>
      </c>
      <c r="N229" s="121" t="s">
        <v>388</v>
      </c>
      <c r="O229" s="118">
        <v>44830</v>
      </c>
      <c r="P229" s="118">
        <v>44862</v>
      </c>
      <c r="Q229" s="118">
        <v>44830</v>
      </c>
      <c r="R229" s="118">
        <v>44835</v>
      </c>
      <c r="S229" s="119">
        <v>40</v>
      </c>
      <c r="T229" s="119">
        <v>1</v>
      </c>
      <c r="U229" s="119">
        <v>5</v>
      </c>
      <c r="V229" s="119">
        <v>5</v>
      </c>
      <c r="W229" s="119">
        <v>1</v>
      </c>
      <c r="X229" s="120">
        <v>0</v>
      </c>
      <c r="Y229" s="120">
        <v>0.2608695652173913</v>
      </c>
      <c r="Z229" s="120">
        <v>0</v>
      </c>
      <c r="AC229" s="119">
        <v>0</v>
      </c>
    </row>
    <row r="230" spans="1:29">
      <c r="A230" s="121" t="s">
        <v>272</v>
      </c>
      <c r="B230" s="121" t="s">
        <v>389</v>
      </c>
      <c r="C230" s="121" t="s">
        <v>349</v>
      </c>
      <c r="D230" s="121" t="s">
        <v>386</v>
      </c>
      <c r="E230" s="121" t="s">
        <v>389</v>
      </c>
      <c r="M230" s="121" t="s">
        <v>390</v>
      </c>
      <c r="N230" s="121" t="s">
        <v>388</v>
      </c>
      <c r="O230" s="118">
        <v>44830</v>
      </c>
      <c r="P230" s="118">
        <v>44862</v>
      </c>
      <c r="Q230" s="118">
        <v>44836</v>
      </c>
      <c r="R230" s="118">
        <v>44842</v>
      </c>
      <c r="S230" s="119">
        <v>41</v>
      </c>
      <c r="T230" s="119">
        <v>2</v>
      </c>
      <c r="U230" s="119">
        <v>4</v>
      </c>
      <c r="V230" s="119">
        <v>1</v>
      </c>
      <c r="W230" s="119">
        <v>1</v>
      </c>
      <c r="X230" s="120">
        <v>0</v>
      </c>
      <c r="Y230" s="120">
        <v>0.2608695652173913</v>
      </c>
      <c r="Z230" s="120">
        <v>0</v>
      </c>
      <c r="AC230" s="119">
        <v>0</v>
      </c>
    </row>
    <row r="231" spans="1:29">
      <c r="A231" s="121" t="s">
        <v>272</v>
      </c>
      <c r="B231" s="121" t="s">
        <v>389</v>
      </c>
      <c r="C231" s="121" t="s">
        <v>349</v>
      </c>
      <c r="D231" s="121" t="s">
        <v>386</v>
      </c>
      <c r="E231" s="121" t="s">
        <v>389</v>
      </c>
      <c r="M231" s="121" t="s">
        <v>390</v>
      </c>
      <c r="N231" s="121" t="s">
        <v>388</v>
      </c>
      <c r="O231" s="118">
        <v>44830</v>
      </c>
      <c r="P231" s="118">
        <v>44862</v>
      </c>
      <c r="Q231" s="118">
        <v>44843</v>
      </c>
      <c r="R231" s="118">
        <v>44849</v>
      </c>
      <c r="S231" s="119">
        <v>42</v>
      </c>
      <c r="T231" s="119">
        <v>3</v>
      </c>
      <c r="U231" s="119">
        <v>4</v>
      </c>
      <c r="V231" s="119">
        <v>0</v>
      </c>
      <c r="W231" s="119">
        <v>1</v>
      </c>
      <c r="X231" s="120">
        <v>0</v>
      </c>
      <c r="Y231" s="120">
        <v>0.2608695652173913</v>
      </c>
      <c r="Z231" s="120">
        <v>0</v>
      </c>
      <c r="AC231" s="119">
        <v>0</v>
      </c>
    </row>
    <row r="232" spans="1:29">
      <c r="A232" s="121" t="s">
        <v>272</v>
      </c>
      <c r="B232" s="121" t="s">
        <v>389</v>
      </c>
      <c r="C232" s="121" t="s">
        <v>349</v>
      </c>
      <c r="D232" s="121" t="s">
        <v>386</v>
      </c>
      <c r="E232" s="121" t="s">
        <v>389</v>
      </c>
      <c r="M232" s="121" t="s">
        <v>390</v>
      </c>
      <c r="N232" s="121" t="s">
        <v>388</v>
      </c>
      <c r="O232" s="118">
        <v>44830</v>
      </c>
      <c r="P232" s="118">
        <v>44862</v>
      </c>
      <c r="Q232" s="118">
        <v>44850</v>
      </c>
      <c r="R232" s="118">
        <v>44856</v>
      </c>
      <c r="S232" s="119">
        <v>43</v>
      </c>
      <c r="T232" s="119">
        <v>4</v>
      </c>
      <c r="U232" s="119">
        <v>5</v>
      </c>
      <c r="V232" s="119">
        <v>0</v>
      </c>
      <c r="W232" s="119">
        <v>1</v>
      </c>
      <c r="X232" s="120">
        <v>0</v>
      </c>
      <c r="Y232" s="120">
        <v>0.2608695652173913</v>
      </c>
      <c r="Z232" s="120">
        <v>0</v>
      </c>
      <c r="AC232" s="119">
        <v>0</v>
      </c>
    </row>
    <row r="233" spans="1:29">
      <c r="A233" s="121" t="s">
        <v>272</v>
      </c>
      <c r="B233" s="121" t="s">
        <v>389</v>
      </c>
      <c r="C233" s="121" t="s">
        <v>349</v>
      </c>
      <c r="D233" s="121" t="s">
        <v>386</v>
      </c>
      <c r="E233" s="121" t="s">
        <v>389</v>
      </c>
      <c r="M233" s="121" t="s">
        <v>390</v>
      </c>
      <c r="N233" s="121" t="s">
        <v>388</v>
      </c>
      <c r="O233" s="118">
        <v>44830</v>
      </c>
      <c r="P233" s="118">
        <v>44862</v>
      </c>
      <c r="Q233" s="118">
        <v>44857</v>
      </c>
      <c r="R233" s="118">
        <v>44863</v>
      </c>
      <c r="S233" s="119">
        <v>44</v>
      </c>
      <c r="T233" s="119">
        <v>5</v>
      </c>
      <c r="U233" s="119">
        <v>5</v>
      </c>
      <c r="V233" s="119">
        <v>0</v>
      </c>
      <c r="W233" s="119">
        <v>1</v>
      </c>
      <c r="X233" s="120">
        <v>0</v>
      </c>
      <c r="Y233" s="120">
        <v>0.2608695652173913</v>
      </c>
      <c r="Z233" s="120">
        <v>0</v>
      </c>
      <c r="AC233" s="119">
        <v>0</v>
      </c>
    </row>
    <row r="234" spans="1:29">
      <c r="A234" s="121" t="s">
        <v>272</v>
      </c>
      <c r="B234" s="121" t="s">
        <v>391</v>
      </c>
      <c r="C234" s="121" t="s">
        <v>349</v>
      </c>
      <c r="D234" s="121" t="s">
        <v>386</v>
      </c>
      <c r="E234" s="121" t="s">
        <v>391</v>
      </c>
      <c r="M234" s="121" t="s">
        <v>392</v>
      </c>
      <c r="N234" s="121" t="s">
        <v>388</v>
      </c>
      <c r="O234" s="118">
        <v>44865</v>
      </c>
      <c r="P234" s="118">
        <v>44904</v>
      </c>
      <c r="Q234" s="118">
        <v>44864</v>
      </c>
      <c r="R234" s="118">
        <v>44870</v>
      </c>
      <c r="S234" s="119">
        <v>45</v>
      </c>
      <c r="T234" s="119">
        <v>6</v>
      </c>
      <c r="U234" s="119">
        <v>5</v>
      </c>
      <c r="V234" s="119">
        <v>0</v>
      </c>
      <c r="W234" s="119">
        <v>1</v>
      </c>
      <c r="X234" s="120">
        <v>0</v>
      </c>
      <c r="Y234" s="120">
        <v>0</v>
      </c>
      <c r="Z234" s="120">
        <v>0</v>
      </c>
      <c r="AC234" s="119">
        <v>0</v>
      </c>
    </row>
    <row r="235" spans="1:29">
      <c r="A235" s="121" t="s">
        <v>272</v>
      </c>
      <c r="B235" s="121" t="s">
        <v>391</v>
      </c>
      <c r="C235" s="121" t="s">
        <v>349</v>
      </c>
      <c r="D235" s="121" t="s">
        <v>386</v>
      </c>
      <c r="E235" s="121" t="s">
        <v>391</v>
      </c>
      <c r="M235" s="121" t="s">
        <v>392</v>
      </c>
      <c r="N235" s="121" t="s">
        <v>388</v>
      </c>
      <c r="O235" s="118">
        <v>44865</v>
      </c>
      <c r="P235" s="118">
        <v>44904</v>
      </c>
      <c r="Q235" s="118">
        <v>44871</v>
      </c>
      <c r="R235" s="118">
        <v>44877</v>
      </c>
      <c r="S235" s="119">
        <v>46</v>
      </c>
      <c r="T235" s="119">
        <v>7</v>
      </c>
      <c r="U235" s="119">
        <v>5</v>
      </c>
      <c r="V235" s="119">
        <v>0</v>
      </c>
      <c r="W235" s="119">
        <v>1</v>
      </c>
      <c r="X235" s="120">
        <v>0</v>
      </c>
      <c r="Y235" s="120">
        <v>0</v>
      </c>
      <c r="Z235" s="120">
        <v>0</v>
      </c>
      <c r="AC235" s="119">
        <v>0</v>
      </c>
    </row>
    <row r="236" spans="1:29">
      <c r="A236" s="121" t="s">
        <v>272</v>
      </c>
      <c r="B236" s="121" t="s">
        <v>391</v>
      </c>
      <c r="C236" s="121" t="s">
        <v>349</v>
      </c>
      <c r="D236" s="121" t="s">
        <v>386</v>
      </c>
      <c r="E236" s="121" t="s">
        <v>391</v>
      </c>
      <c r="M236" s="121" t="s">
        <v>392</v>
      </c>
      <c r="N236" s="121" t="s">
        <v>388</v>
      </c>
      <c r="O236" s="118">
        <v>44865</v>
      </c>
      <c r="P236" s="118">
        <v>44904</v>
      </c>
      <c r="Q236" s="118">
        <v>44878</v>
      </c>
      <c r="R236" s="118">
        <v>44884</v>
      </c>
      <c r="S236" s="119">
        <v>47</v>
      </c>
      <c r="T236" s="119">
        <v>8</v>
      </c>
      <c r="U236" s="119">
        <v>5</v>
      </c>
      <c r="V236" s="119">
        <v>0</v>
      </c>
      <c r="W236" s="119">
        <v>1</v>
      </c>
      <c r="X236" s="120">
        <v>0</v>
      </c>
      <c r="Y236" s="120">
        <v>0</v>
      </c>
      <c r="Z236" s="120">
        <v>0</v>
      </c>
      <c r="AC236" s="119">
        <v>0</v>
      </c>
    </row>
    <row r="237" spans="1:29">
      <c r="A237" s="121" t="s">
        <v>272</v>
      </c>
      <c r="B237" s="121" t="s">
        <v>391</v>
      </c>
      <c r="C237" s="121" t="s">
        <v>349</v>
      </c>
      <c r="D237" s="121" t="s">
        <v>386</v>
      </c>
      <c r="E237" s="121" t="s">
        <v>391</v>
      </c>
      <c r="M237" s="121" t="s">
        <v>392</v>
      </c>
      <c r="N237" s="121" t="s">
        <v>388</v>
      </c>
      <c r="O237" s="118">
        <v>44865</v>
      </c>
      <c r="P237" s="118">
        <v>44904</v>
      </c>
      <c r="Q237" s="118">
        <v>44885</v>
      </c>
      <c r="R237" s="118">
        <v>44891</v>
      </c>
      <c r="S237" s="119">
        <v>48</v>
      </c>
      <c r="T237" s="119">
        <v>9</v>
      </c>
      <c r="U237" s="119">
        <v>5</v>
      </c>
      <c r="V237" s="119">
        <v>0</v>
      </c>
      <c r="W237" s="119">
        <v>1</v>
      </c>
      <c r="X237" s="120">
        <v>0</v>
      </c>
      <c r="Y237" s="120">
        <v>0</v>
      </c>
      <c r="Z237" s="120">
        <v>0</v>
      </c>
      <c r="AC237" s="119">
        <v>0</v>
      </c>
    </row>
    <row r="238" spans="1:29">
      <c r="A238" s="121" t="s">
        <v>272</v>
      </c>
      <c r="B238" s="121" t="s">
        <v>391</v>
      </c>
      <c r="C238" s="121" t="s">
        <v>349</v>
      </c>
      <c r="D238" s="121" t="s">
        <v>386</v>
      </c>
      <c r="E238" s="121" t="s">
        <v>391</v>
      </c>
      <c r="M238" s="121" t="s">
        <v>392</v>
      </c>
      <c r="N238" s="121" t="s">
        <v>388</v>
      </c>
      <c r="O238" s="118">
        <v>44865</v>
      </c>
      <c r="P238" s="118">
        <v>44904</v>
      </c>
      <c r="Q238" s="118">
        <v>44892</v>
      </c>
      <c r="R238" s="118">
        <v>44898</v>
      </c>
      <c r="S238" s="119">
        <v>49</v>
      </c>
      <c r="T238" s="119">
        <v>10</v>
      </c>
      <c r="U238" s="119">
        <v>5</v>
      </c>
      <c r="V238" s="119">
        <v>0</v>
      </c>
      <c r="W238" s="119">
        <v>1</v>
      </c>
      <c r="X238" s="120">
        <v>0</v>
      </c>
      <c r="Y238" s="120">
        <v>0</v>
      </c>
      <c r="Z238" s="120">
        <v>0</v>
      </c>
      <c r="AC238" s="119">
        <v>0</v>
      </c>
    </row>
    <row r="239" spans="1:29">
      <c r="A239" s="121" t="s">
        <v>272</v>
      </c>
      <c r="B239" s="121" t="s">
        <v>391</v>
      </c>
      <c r="C239" s="121" t="s">
        <v>349</v>
      </c>
      <c r="D239" s="121" t="s">
        <v>386</v>
      </c>
      <c r="E239" s="121" t="s">
        <v>391</v>
      </c>
      <c r="M239" s="121" t="s">
        <v>392</v>
      </c>
      <c r="N239" s="121" t="s">
        <v>388</v>
      </c>
      <c r="O239" s="118">
        <v>44865</v>
      </c>
      <c r="P239" s="118">
        <v>44904</v>
      </c>
      <c r="Q239" s="118">
        <v>44899</v>
      </c>
      <c r="R239" s="118">
        <v>44905</v>
      </c>
      <c r="S239" s="119">
        <v>50</v>
      </c>
      <c r="T239" s="119">
        <v>11</v>
      </c>
      <c r="U239" s="119">
        <v>5</v>
      </c>
      <c r="V239" s="119">
        <v>0</v>
      </c>
      <c r="W239" s="119">
        <v>1</v>
      </c>
      <c r="X239" s="120">
        <v>0</v>
      </c>
      <c r="Y239" s="120">
        <v>0</v>
      </c>
      <c r="Z239" s="120">
        <v>0</v>
      </c>
      <c r="AC239" s="119">
        <v>0</v>
      </c>
    </row>
    <row r="240" spans="1:29">
      <c r="A240" s="121" t="s">
        <v>272</v>
      </c>
      <c r="B240" s="121" t="s">
        <v>393</v>
      </c>
      <c r="C240" s="121" t="s">
        <v>349</v>
      </c>
      <c r="D240" s="121" t="s">
        <v>386</v>
      </c>
      <c r="E240" s="121" t="s">
        <v>393</v>
      </c>
      <c r="M240" s="121" t="s">
        <v>394</v>
      </c>
      <c r="N240" s="121" t="s">
        <v>388</v>
      </c>
      <c r="O240" s="118">
        <v>44893</v>
      </c>
      <c r="P240" s="118">
        <v>44932</v>
      </c>
      <c r="Q240" s="118">
        <v>44892</v>
      </c>
      <c r="R240" s="118">
        <v>44898</v>
      </c>
      <c r="S240" s="119">
        <v>49</v>
      </c>
      <c r="T240" s="119">
        <v>10</v>
      </c>
      <c r="U240" s="119">
        <v>5</v>
      </c>
      <c r="V240" s="119">
        <v>0</v>
      </c>
      <c r="W240" s="119">
        <v>1</v>
      </c>
      <c r="X240" s="120">
        <v>0</v>
      </c>
      <c r="Y240" s="120">
        <v>0</v>
      </c>
      <c r="Z240" s="120">
        <v>0</v>
      </c>
      <c r="AC240" s="119">
        <v>0</v>
      </c>
    </row>
    <row r="241" spans="1:29">
      <c r="A241" s="121" t="s">
        <v>272</v>
      </c>
      <c r="B241" s="121" t="s">
        <v>393</v>
      </c>
      <c r="C241" s="121" t="s">
        <v>349</v>
      </c>
      <c r="D241" s="121" t="s">
        <v>386</v>
      </c>
      <c r="E241" s="121" t="s">
        <v>393</v>
      </c>
      <c r="M241" s="121" t="s">
        <v>394</v>
      </c>
      <c r="N241" s="121" t="s">
        <v>388</v>
      </c>
      <c r="O241" s="118">
        <v>44893</v>
      </c>
      <c r="P241" s="118">
        <v>44932</v>
      </c>
      <c r="Q241" s="118">
        <v>44899</v>
      </c>
      <c r="R241" s="118">
        <v>44905</v>
      </c>
      <c r="S241" s="119">
        <v>50</v>
      </c>
      <c r="T241" s="119">
        <v>11</v>
      </c>
      <c r="U241" s="119">
        <v>5</v>
      </c>
      <c r="V241" s="119">
        <v>0</v>
      </c>
      <c r="W241" s="119">
        <v>1</v>
      </c>
      <c r="X241" s="120">
        <v>0</v>
      </c>
      <c r="Y241" s="120">
        <v>0</v>
      </c>
      <c r="Z241" s="120">
        <v>0</v>
      </c>
      <c r="AC241" s="119">
        <v>0</v>
      </c>
    </row>
    <row r="242" spans="1:29">
      <c r="A242" s="121" t="s">
        <v>272</v>
      </c>
      <c r="B242" s="121" t="s">
        <v>393</v>
      </c>
      <c r="C242" s="121" t="s">
        <v>349</v>
      </c>
      <c r="D242" s="121" t="s">
        <v>386</v>
      </c>
      <c r="E242" s="121" t="s">
        <v>393</v>
      </c>
      <c r="M242" s="121" t="s">
        <v>394</v>
      </c>
      <c r="N242" s="121" t="s">
        <v>388</v>
      </c>
      <c r="O242" s="118">
        <v>44893</v>
      </c>
      <c r="P242" s="118">
        <v>44932</v>
      </c>
      <c r="Q242" s="118">
        <v>44906</v>
      </c>
      <c r="R242" s="118">
        <v>44912</v>
      </c>
      <c r="S242" s="119">
        <v>51</v>
      </c>
      <c r="T242" s="119">
        <v>12</v>
      </c>
      <c r="U242" s="119">
        <v>5</v>
      </c>
      <c r="V242" s="119">
        <v>0</v>
      </c>
      <c r="W242" s="119">
        <v>1</v>
      </c>
      <c r="X242" s="120">
        <v>0</v>
      </c>
      <c r="Y242" s="120">
        <v>0</v>
      </c>
      <c r="Z242" s="120">
        <v>0</v>
      </c>
      <c r="AC242" s="119">
        <v>0</v>
      </c>
    </row>
    <row r="243" spans="1:29">
      <c r="A243" s="121" t="s">
        <v>272</v>
      </c>
      <c r="B243" s="121" t="s">
        <v>393</v>
      </c>
      <c r="C243" s="121" t="s">
        <v>349</v>
      </c>
      <c r="D243" s="121" t="s">
        <v>386</v>
      </c>
      <c r="E243" s="121" t="s">
        <v>393</v>
      </c>
      <c r="M243" s="121" t="s">
        <v>394</v>
      </c>
      <c r="N243" s="121" t="s">
        <v>388</v>
      </c>
      <c r="O243" s="118">
        <v>44893</v>
      </c>
      <c r="P243" s="118">
        <v>44932</v>
      </c>
      <c r="Q243" s="118">
        <v>44913</v>
      </c>
      <c r="R243" s="118">
        <v>44919</v>
      </c>
      <c r="S243" s="119">
        <v>52</v>
      </c>
      <c r="T243" s="119">
        <v>13</v>
      </c>
      <c r="U243" s="119">
        <v>5</v>
      </c>
      <c r="V243" s="119">
        <v>0</v>
      </c>
      <c r="W243" s="119">
        <v>1</v>
      </c>
      <c r="X243" s="120">
        <v>0</v>
      </c>
      <c r="Y243" s="120">
        <v>0</v>
      </c>
      <c r="Z243" s="120">
        <v>0</v>
      </c>
      <c r="AC243" s="119">
        <v>0</v>
      </c>
    </row>
    <row r="244" spans="1:29">
      <c r="A244" s="121" t="s">
        <v>272</v>
      </c>
      <c r="B244" s="121" t="s">
        <v>393</v>
      </c>
      <c r="C244" s="121" t="s">
        <v>349</v>
      </c>
      <c r="D244" s="121" t="s">
        <v>386</v>
      </c>
      <c r="E244" s="121" t="s">
        <v>393</v>
      </c>
      <c r="M244" s="121" t="s">
        <v>394</v>
      </c>
      <c r="N244" s="121" t="s">
        <v>388</v>
      </c>
      <c r="O244" s="118">
        <v>44893</v>
      </c>
      <c r="P244" s="118">
        <v>44932</v>
      </c>
      <c r="Q244" s="118">
        <v>44920</v>
      </c>
      <c r="R244" s="118">
        <v>44926</v>
      </c>
      <c r="S244" s="119">
        <v>53</v>
      </c>
      <c r="T244" s="119">
        <v>14</v>
      </c>
      <c r="U244" s="119">
        <v>5</v>
      </c>
      <c r="V244" s="119">
        <v>0</v>
      </c>
      <c r="W244" s="119">
        <v>1</v>
      </c>
      <c r="X244" s="120">
        <v>0</v>
      </c>
      <c r="Y244" s="120">
        <v>0</v>
      </c>
      <c r="Z244" s="120">
        <v>0</v>
      </c>
      <c r="AC244" s="119">
        <v>0</v>
      </c>
    </row>
    <row r="245" spans="1:29">
      <c r="A245" s="121" t="s">
        <v>272</v>
      </c>
      <c r="B245" s="121" t="s">
        <v>393</v>
      </c>
      <c r="C245" s="121" t="s">
        <v>349</v>
      </c>
      <c r="D245" s="121" t="s">
        <v>386</v>
      </c>
      <c r="E245" s="121" t="s">
        <v>393</v>
      </c>
      <c r="M245" s="121" t="s">
        <v>394</v>
      </c>
      <c r="N245" s="121" t="s">
        <v>388</v>
      </c>
      <c r="O245" s="118">
        <v>44893</v>
      </c>
      <c r="P245" s="118">
        <v>44932</v>
      </c>
      <c r="Q245" s="118">
        <v>44927</v>
      </c>
      <c r="R245" s="118">
        <v>44933</v>
      </c>
      <c r="S245" s="119">
        <v>1</v>
      </c>
      <c r="T245" s="119">
        <v>15</v>
      </c>
      <c r="U245" s="119">
        <v>5</v>
      </c>
      <c r="V245" s="119">
        <v>0</v>
      </c>
      <c r="W245" s="119">
        <v>1</v>
      </c>
      <c r="X245" s="120">
        <v>0</v>
      </c>
      <c r="Y245" s="120">
        <v>0</v>
      </c>
      <c r="Z245" s="120">
        <v>0</v>
      </c>
      <c r="AC245" s="119">
        <v>0</v>
      </c>
    </row>
    <row r="246" spans="1:29">
      <c r="A246" s="121" t="s">
        <v>272</v>
      </c>
      <c r="B246" s="121" t="s">
        <v>395</v>
      </c>
      <c r="C246" s="121" t="s">
        <v>349</v>
      </c>
      <c r="D246" s="121" t="s">
        <v>386</v>
      </c>
      <c r="E246" s="121" t="s">
        <v>395</v>
      </c>
      <c r="M246" s="121" t="s">
        <v>396</v>
      </c>
      <c r="N246" s="121" t="s">
        <v>388</v>
      </c>
      <c r="O246" s="118">
        <v>44935</v>
      </c>
      <c r="P246" s="118">
        <v>44981</v>
      </c>
      <c r="Q246" s="118">
        <v>44934</v>
      </c>
      <c r="R246" s="118">
        <v>44940</v>
      </c>
      <c r="S246" s="119">
        <v>2</v>
      </c>
      <c r="T246" s="119">
        <v>16</v>
      </c>
      <c r="U246" s="119">
        <v>5</v>
      </c>
      <c r="V246" s="119">
        <v>0</v>
      </c>
      <c r="W246" s="119">
        <v>1</v>
      </c>
      <c r="X246" s="120">
        <v>0</v>
      </c>
      <c r="Y246" s="120">
        <v>0</v>
      </c>
      <c r="Z246" s="120">
        <v>0</v>
      </c>
      <c r="AC246" s="119">
        <v>0</v>
      </c>
    </row>
    <row r="247" spans="1:29">
      <c r="A247" s="121" t="s">
        <v>272</v>
      </c>
      <c r="B247" s="121" t="s">
        <v>395</v>
      </c>
      <c r="C247" s="121" t="s">
        <v>349</v>
      </c>
      <c r="D247" s="121" t="s">
        <v>386</v>
      </c>
      <c r="E247" s="121" t="s">
        <v>395</v>
      </c>
      <c r="M247" s="121" t="s">
        <v>396</v>
      </c>
      <c r="N247" s="121" t="s">
        <v>388</v>
      </c>
      <c r="O247" s="118">
        <v>44935</v>
      </c>
      <c r="P247" s="118">
        <v>44981</v>
      </c>
      <c r="Q247" s="118">
        <v>44941</v>
      </c>
      <c r="R247" s="118">
        <v>44947</v>
      </c>
      <c r="S247" s="119">
        <v>3</v>
      </c>
      <c r="T247" s="119">
        <v>17</v>
      </c>
      <c r="U247" s="119">
        <v>5</v>
      </c>
      <c r="V247" s="119">
        <v>0</v>
      </c>
      <c r="W247" s="119">
        <v>1</v>
      </c>
      <c r="X247" s="120">
        <v>0</v>
      </c>
      <c r="Y247" s="120">
        <v>0</v>
      </c>
      <c r="Z247" s="120">
        <v>0</v>
      </c>
      <c r="AC247" s="119">
        <v>0</v>
      </c>
    </row>
    <row r="248" spans="1:29">
      <c r="A248" s="121" t="s">
        <v>272</v>
      </c>
      <c r="B248" s="121" t="s">
        <v>395</v>
      </c>
      <c r="C248" s="121" t="s">
        <v>349</v>
      </c>
      <c r="D248" s="121" t="s">
        <v>386</v>
      </c>
      <c r="E248" s="121" t="s">
        <v>395</v>
      </c>
      <c r="M248" s="121" t="s">
        <v>396</v>
      </c>
      <c r="N248" s="121" t="s">
        <v>388</v>
      </c>
      <c r="O248" s="118">
        <v>44935</v>
      </c>
      <c r="P248" s="118">
        <v>44981</v>
      </c>
      <c r="Q248" s="118">
        <v>44948</v>
      </c>
      <c r="R248" s="118">
        <v>44954</v>
      </c>
      <c r="S248" s="119">
        <v>4</v>
      </c>
      <c r="T248" s="119">
        <v>18</v>
      </c>
      <c r="U248" s="119">
        <v>3</v>
      </c>
      <c r="V248" s="119">
        <v>0</v>
      </c>
      <c r="W248" s="119">
        <v>1</v>
      </c>
      <c r="X248" s="120">
        <v>0</v>
      </c>
      <c r="Y248" s="120">
        <v>0</v>
      </c>
      <c r="Z248" s="120">
        <v>0</v>
      </c>
      <c r="AC248" s="119">
        <v>0</v>
      </c>
    </row>
    <row r="249" spans="1:29">
      <c r="A249" s="121" t="s">
        <v>272</v>
      </c>
      <c r="B249" s="121" t="s">
        <v>395</v>
      </c>
      <c r="C249" s="121" t="s">
        <v>349</v>
      </c>
      <c r="D249" s="121" t="s">
        <v>386</v>
      </c>
      <c r="E249" s="121" t="s">
        <v>395</v>
      </c>
      <c r="M249" s="121" t="s">
        <v>396</v>
      </c>
      <c r="N249" s="121" t="s">
        <v>388</v>
      </c>
      <c r="O249" s="118">
        <v>44935</v>
      </c>
      <c r="P249" s="118">
        <v>44981</v>
      </c>
      <c r="Q249" s="118">
        <v>44955</v>
      </c>
      <c r="R249" s="118">
        <v>44961</v>
      </c>
      <c r="S249" s="119">
        <v>5</v>
      </c>
      <c r="T249" s="119">
        <v>19</v>
      </c>
      <c r="U249" s="119">
        <v>5</v>
      </c>
      <c r="V249" s="119">
        <v>0</v>
      </c>
      <c r="W249" s="119">
        <v>1</v>
      </c>
      <c r="X249" s="120">
        <v>0</v>
      </c>
      <c r="Y249" s="120">
        <v>0</v>
      </c>
      <c r="Z249" s="120">
        <v>0</v>
      </c>
      <c r="AC249" s="119">
        <v>0</v>
      </c>
    </row>
    <row r="250" spans="1:29">
      <c r="A250" s="121" t="s">
        <v>272</v>
      </c>
      <c r="B250" s="121" t="s">
        <v>395</v>
      </c>
      <c r="C250" s="121" t="s">
        <v>349</v>
      </c>
      <c r="D250" s="121" t="s">
        <v>386</v>
      </c>
      <c r="E250" s="121" t="s">
        <v>395</v>
      </c>
      <c r="M250" s="121" t="s">
        <v>396</v>
      </c>
      <c r="N250" s="121" t="s">
        <v>388</v>
      </c>
      <c r="O250" s="118">
        <v>44935</v>
      </c>
      <c r="P250" s="118">
        <v>44981</v>
      </c>
      <c r="Q250" s="118">
        <v>44962</v>
      </c>
      <c r="R250" s="118">
        <v>44968</v>
      </c>
      <c r="S250" s="119">
        <v>6</v>
      </c>
      <c r="T250" s="119">
        <v>20</v>
      </c>
      <c r="U250" s="119">
        <v>5</v>
      </c>
      <c r="V250" s="119">
        <v>0</v>
      </c>
      <c r="W250" s="119">
        <v>1</v>
      </c>
      <c r="X250" s="120">
        <v>0</v>
      </c>
      <c r="Y250" s="120">
        <v>0</v>
      </c>
      <c r="Z250" s="120">
        <v>0</v>
      </c>
      <c r="AC250" s="119">
        <v>0</v>
      </c>
    </row>
    <row r="251" spans="1:29">
      <c r="A251" s="121" t="s">
        <v>272</v>
      </c>
      <c r="B251" s="121" t="s">
        <v>395</v>
      </c>
      <c r="C251" s="121" t="s">
        <v>349</v>
      </c>
      <c r="D251" s="121" t="s">
        <v>386</v>
      </c>
      <c r="E251" s="121" t="s">
        <v>395</v>
      </c>
      <c r="M251" s="121" t="s">
        <v>396</v>
      </c>
      <c r="N251" s="121" t="s">
        <v>388</v>
      </c>
      <c r="O251" s="118">
        <v>44935</v>
      </c>
      <c r="P251" s="118">
        <v>44981</v>
      </c>
      <c r="Q251" s="118">
        <v>44969</v>
      </c>
      <c r="R251" s="118">
        <v>44975</v>
      </c>
      <c r="S251" s="119">
        <v>7</v>
      </c>
      <c r="T251" s="119">
        <v>21</v>
      </c>
      <c r="U251" s="119">
        <v>5</v>
      </c>
      <c r="V251" s="119">
        <v>0</v>
      </c>
      <c r="W251" s="119">
        <v>1</v>
      </c>
      <c r="X251" s="120">
        <v>0</v>
      </c>
      <c r="Y251" s="120">
        <v>0</v>
      </c>
      <c r="Z251" s="120">
        <v>0</v>
      </c>
      <c r="AC251" s="119">
        <v>0</v>
      </c>
    </row>
    <row r="252" spans="1:29">
      <c r="A252" s="121" t="s">
        <v>272</v>
      </c>
      <c r="B252" s="121" t="s">
        <v>395</v>
      </c>
      <c r="C252" s="121" t="s">
        <v>349</v>
      </c>
      <c r="D252" s="121" t="s">
        <v>386</v>
      </c>
      <c r="E252" s="121" t="s">
        <v>395</v>
      </c>
      <c r="M252" s="121" t="s">
        <v>396</v>
      </c>
      <c r="N252" s="121" t="s">
        <v>388</v>
      </c>
      <c r="O252" s="118">
        <v>44935</v>
      </c>
      <c r="P252" s="118">
        <v>44981</v>
      </c>
      <c r="Q252" s="118">
        <v>44976</v>
      </c>
      <c r="R252" s="118">
        <v>44982</v>
      </c>
      <c r="S252" s="119">
        <v>8</v>
      </c>
      <c r="T252" s="119">
        <v>22</v>
      </c>
      <c r="U252" s="119">
        <v>5</v>
      </c>
      <c r="V252" s="119">
        <v>0</v>
      </c>
      <c r="W252" s="119">
        <v>1</v>
      </c>
      <c r="X252" s="120">
        <v>0</v>
      </c>
      <c r="Y252" s="120">
        <v>0</v>
      </c>
      <c r="Z252" s="120">
        <v>0</v>
      </c>
      <c r="AC252" s="119">
        <v>0</v>
      </c>
    </row>
    <row r="253" spans="1:29">
      <c r="A253" s="121" t="s">
        <v>272</v>
      </c>
      <c r="B253" s="121" t="s">
        <v>398</v>
      </c>
      <c r="C253" s="121" t="s">
        <v>349</v>
      </c>
      <c r="D253" s="121" t="s">
        <v>386</v>
      </c>
      <c r="E253" s="121" t="s">
        <v>398</v>
      </c>
      <c r="M253" s="121" t="s">
        <v>399</v>
      </c>
      <c r="N253" s="121" t="s">
        <v>388</v>
      </c>
      <c r="O253" s="118">
        <v>44963</v>
      </c>
      <c r="P253" s="118">
        <v>44967</v>
      </c>
      <c r="Q253" s="118">
        <v>44962</v>
      </c>
      <c r="R253" s="118">
        <v>44968</v>
      </c>
      <c r="S253" s="119">
        <v>6</v>
      </c>
      <c r="T253" s="119">
        <v>20</v>
      </c>
      <c r="U253" s="119">
        <v>5</v>
      </c>
      <c r="V253" s="119">
        <v>0</v>
      </c>
      <c r="W253" s="119">
        <v>1</v>
      </c>
      <c r="X253" s="120">
        <v>0</v>
      </c>
      <c r="Y253" s="120">
        <v>0</v>
      </c>
      <c r="Z253" s="120">
        <v>0</v>
      </c>
      <c r="AC253" s="11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Z17"/>
  <sheetViews>
    <sheetView zoomScale="85" zoomScaleNormal="85" workbookViewId="0">
      <selection activeCell="D19" sqref="D19"/>
    </sheetView>
  </sheetViews>
  <sheetFormatPr defaultRowHeight="16.5"/>
  <cols>
    <col min="1" max="1" width="50.625" bestFit="1" customWidth="1"/>
    <col min="2" max="2" width="19" bestFit="1" customWidth="1"/>
    <col min="3" max="3" width="23" bestFit="1" customWidth="1"/>
    <col min="4" max="4" width="14.25" bestFit="1" customWidth="1"/>
    <col min="5" max="5" width="9.375" bestFit="1" customWidth="1"/>
    <col min="6" max="6" width="5.75" bestFit="1" customWidth="1"/>
    <col min="7" max="7" width="17.875" bestFit="1" customWidth="1"/>
    <col min="8" max="8" width="5.25" bestFit="1" customWidth="1"/>
    <col min="9" max="10" width="11.625" style="77" bestFit="1" customWidth="1"/>
    <col min="11" max="11" width="24.875" style="77" bestFit="1" customWidth="1"/>
    <col min="12" max="12" width="9.125" bestFit="1" customWidth="1"/>
    <col min="14" max="14" width="24.875" style="77" bestFit="1" customWidth="1"/>
    <col min="15" max="15" width="11" bestFit="1" customWidth="1"/>
    <col min="16" max="16" width="7.125" bestFit="1" customWidth="1"/>
    <col min="18" max="19" width="11" bestFit="1" customWidth="1"/>
    <col min="20" max="20" width="13" bestFit="1" customWidth="1"/>
    <col min="21" max="21" width="11" bestFit="1" customWidth="1"/>
    <col min="22" max="22" width="7.125" bestFit="1" customWidth="1"/>
    <col min="23" max="23" width="13.5" bestFit="1" customWidth="1"/>
    <col min="24" max="24" width="7.125" bestFit="1" customWidth="1"/>
    <col min="25" max="26" width="11" bestFit="1" customWidth="1"/>
    <col min="27" max="27" width="0" hidden="1" customWidth="1"/>
  </cols>
  <sheetData>
    <row r="1" spans="1:26">
      <c r="A1" s="86" t="s">
        <v>1613</v>
      </c>
      <c r="B1" s="86" t="s">
        <v>1614</v>
      </c>
      <c r="C1" s="86" t="s">
        <v>1615</v>
      </c>
      <c r="D1" s="86" t="s">
        <v>1616</v>
      </c>
      <c r="E1" s="86" t="s">
        <v>1617</v>
      </c>
      <c r="F1" s="86" t="s">
        <v>421</v>
      </c>
      <c r="G1" s="86" t="s">
        <v>422</v>
      </c>
      <c r="H1" s="86" t="s">
        <v>1033</v>
      </c>
      <c r="I1" s="125" t="s">
        <v>1618</v>
      </c>
      <c r="J1" s="125" t="s">
        <v>424</v>
      </c>
      <c r="K1" s="125" t="s">
        <v>1619</v>
      </c>
      <c r="L1" s="86" t="s">
        <v>694</v>
      </c>
      <c r="M1" s="86" t="s">
        <v>1620</v>
      </c>
      <c r="N1" s="125" t="s">
        <v>1621</v>
      </c>
      <c r="O1" s="86" t="s">
        <v>1076</v>
      </c>
      <c r="P1" s="86" t="s">
        <v>1420</v>
      </c>
      <c r="Q1" s="86" t="s">
        <v>1072</v>
      </c>
      <c r="R1" s="86" t="s">
        <v>575</v>
      </c>
      <c r="S1" s="86" t="s">
        <v>559</v>
      </c>
      <c r="T1" s="86" t="s">
        <v>587</v>
      </c>
      <c r="U1" s="86" t="s">
        <v>585</v>
      </c>
      <c r="V1" s="86" t="s">
        <v>425</v>
      </c>
      <c r="W1" s="86" t="s">
        <v>420</v>
      </c>
      <c r="X1" s="86" t="s">
        <v>748</v>
      </c>
      <c r="Y1" s="86" t="s">
        <v>1074</v>
      </c>
      <c r="Z1" s="86" t="s">
        <v>494</v>
      </c>
    </row>
    <row r="2" spans="1:26">
      <c r="A2" s="144"/>
      <c r="B2" t="s">
        <v>1622</v>
      </c>
      <c r="C2" t="s">
        <v>1623</v>
      </c>
      <c r="D2" t="s">
        <v>211</v>
      </c>
      <c r="E2">
        <v>1</v>
      </c>
      <c r="F2" t="s">
        <v>211</v>
      </c>
      <c r="G2" t="s">
        <v>1624</v>
      </c>
      <c r="I2" s="77">
        <v>44340</v>
      </c>
      <c r="J2" s="77">
        <v>44407</v>
      </c>
      <c r="Y2">
        <v>0</v>
      </c>
      <c r="Z2">
        <v>0</v>
      </c>
    </row>
    <row r="3" spans="1:26">
      <c r="B3" s="77">
        <v>44317</v>
      </c>
      <c r="C3" t="s">
        <v>1625</v>
      </c>
      <c r="D3" t="s">
        <v>234</v>
      </c>
      <c r="E3">
        <v>2</v>
      </c>
      <c r="F3" t="s">
        <v>214</v>
      </c>
      <c r="G3" t="s">
        <v>651</v>
      </c>
      <c r="I3" s="77">
        <v>44340</v>
      </c>
      <c r="J3" s="77">
        <v>44344</v>
      </c>
      <c r="Y3">
        <v>0</v>
      </c>
      <c r="Z3">
        <v>0</v>
      </c>
    </row>
    <row r="4" spans="1:26">
      <c r="B4" s="77">
        <v>44439</v>
      </c>
      <c r="C4" t="s">
        <v>1626</v>
      </c>
      <c r="D4" t="s">
        <v>272</v>
      </c>
      <c r="E4">
        <v>3</v>
      </c>
      <c r="F4" t="s">
        <v>216</v>
      </c>
      <c r="G4" t="s">
        <v>1627</v>
      </c>
      <c r="I4" s="77">
        <v>44340</v>
      </c>
      <c r="J4" s="77">
        <v>44343</v>
      </c>
      <c r="W4" t="s">
        <v>1628</v>
      </c>
      <c r="Y4" s="78">
        <v>1</v>
      </c>
      <c r="Z4" s="78">
        <v>1</v>
      </c>
    </row>
    <row r="5" spans="1:26">
      <c r="B5" s="78">
        <v>0.45</v>
      </c>
      <c r="C5" t="s">
        <v>1629</v>
      </c>
      <c r="D5" t="s">
        <v>349</v>
      </c>
      <c r="E5">
        <v>3</v>
      </c>
      <c r="F5" t="s">
        <v>219</v>
      </c>
      <c r="G5" t="s">
        <v>1630</v>
      </c>
      <c r="I5" s="77">
        <v>44344</v>
      </c>
      <c r="J5" s="77">
        <v>44344</v>
      </c>
      <c r="K5" s="77" t="s">
        <v>1631</v>
      </c>
      <c r="N5" s="77" t="s">
        <v>1631</v>
      </c>
      <c r="R5" s="77"/>
      <c r="Y5" s="78">
        <v>1</v>
      </c>
      <c r="Z5" s="78">
        <v>1</v>
      </c>
    </row>
    <row r="6" spans="1:26">
      <c r="B6" s="85">
        <v>0.43330000000000002</v>
      </c>
      <c r="C6" t="s">
        <v>1632</v>
      </c>
      <c r="D6" t="s">
        <v>1611</v>
      </c>
      <c r="E6">
        <v>3</v>
      </c>
      <c r="F6" t="s">
        <v>1633</v>
      </c>
      <c r="G6" t="s">
        <v>1634</v>
      </c>
      <c r="I6" s="77">
        <v>44340</v>
      </c>
      <c r="J6" s="77">
        <v>44342</v>
      </c>
      <c r="W6" t="s">
        <v>1635</v>
      </c>
      <c r="Y6">
        <v>0</v>
      </c>
      <c r="Z6">
        <v>0</v>
      </c>
    </row>
    <row r="7" spans="1:26">
      <c r="C7" t="s">
        <v>1636</v>
      </c>
      <c r="D7" t="s">
        <v>1637</v>
      </c>
      <c r="E7">
        <v>3</v>
      </c>
      <c r="F7" t="s">
        <v>1638</v>
      </c>
      <c r="G7" t="s">
        <v>1639</v>
      </c>
      <c r="I7" s="77">
        <v>44343</v>
      </c>
      <c r="J7" s="77">
        <v>44344</v>
      </c>
      <c r="W7" t="s">
        <v>1635</v>
      </c>
      <c r="Y7">
        <v>0</v>
      </c>
      <c r="Z7">
        <v>0</v>
      </c>
    </row>
    <row r="8" spans="1:26">
      <c r="C8" t="s">
        <v>1640</v>
      </c>
      <c r="D8" t="s">
        <v>1641</v>
      </c>
      <c r="E8">
        <v>2</v>
      </c>
      <c r="F8" t="s">
        <v>221</v>
      </c>
      <c r="G8" t="s">
        <v>1642</v>
      </c>
      <c r="I8" s="77">
        <v>44347</v>
      </c>
      <c r="J8" s="77">
        <v>44365</v>
      </c>
      <c r="Y8">
        <v>0</v>
      </c>
      <c r="Z8">
        <v>0</v>
      </c>
    </row>
    <row r="9" spans="1:26">
      <c r="C9" t="s">
        <v>1643</v>
      </c>
      <c r="D9" t="s">
        <v>1644</v>
      </c>
      <c r="E9">
        <v>3</v>
      </c>
      <c r="F9" t="s">
        <v>223</v>
      </c>
      <c r="G9" t="s">
        <v>1645</v>
      </c>
      <c r="I9" s="77">
        <v>44347</v>
      </c>
      <c r="J9" s="77">
        <v>44351</v>
      </c>
      <c r="W9" t="s">
        <v>1646</v>
      </c>
      <c r="Y9">
        <v>0</v>
      </c>
      <c r="Z9">
        <v>0</v>
      </c>
    </row>
    <row r="10" spans="1:26">
      <c r="C10" t="s">
        <v>1647</v>
      </c>
      <c r="D10" t="s">
        <v>1648</v>
      </c>
      <c r="E10">
        <v>3</v>
      </c>
      <c r="F10" t="s">
        <v>225</v>
      </c>
      <c r="G10" t="s">
        <v>1649</v>
      </c>
      <c r="I10" s="77">
        <v>44354</v>
      </c>
      <c r="J10" s="77">
        <v>44365</v>
      </c>
      <c r="W10" t="s">
        <v>1646</v>
      </c>
      <c r="Y10">
        <v>0</v>
      </c>
      <c r="Z10">
        <v>0</v>
      </c>
    </row>
    <row r="11" spans="1:26">
      <c r="D11" t="s">
        <v>1650</v>
      </c>
      <c r="E11">
        <v>2</v>
      </c>
      <c r="F11" t="s">
        <v>227</v>
      </c>
      <c r="G11" t="s">
        <v>1651</v>
      </c>
      <c r="I11" s="77">
        <v>44368</v>
      </c>
      <c r="J11" s="77">
        <v>44393</v>
      </c>
      <c r="Y11">
        <v>0</v>
      </c>
      <c r="Z11">
        <v>0</v>
      </c>
    </row>
    <row r="12" spans="1:26">
      <c r="D12" t="s">
        <v>1652</v>
      </c>
      <c r="E12">
        <v>3</v>
      </c>
      <c r="F12" t="s">
        <v>229</v>
      </c>
      <c r="G12" t="s">
        <v>1653</v>
      </c>
      <c r="I12" s="77">
        <v>44368</v>
      </c>
      <c r="J12" s="77">
        <v>44386</v>
      </c>
      <c r="Y12">
        <v>0</v>
      </c>
      <c r="Z12">
        <v>0</v>
      </c>
    </row>
    <row r="13" spans="1:26">
      <c r="D13" t="s">
        <v>1654</v>
      </c>
      <c r="E13">
        <v>3</v>
      </c>
      <c r="F13" t="s">
        <v>232</v>
      </c>
      <c r="G13" t="s">
        <v>1655</v>
      </c>
      <c r="I13" s="77">
        <v>44389</v>
      </c>
      <c r="J13" s="77">
        <v>44393</v>
      </c>
      <c r="W13" t="s">
        <v>1656</v>
      </c>
      <c r="Y13">
        <v>0</v>
      </c>
      <c r="Z13">
        <v>0</v>
      </c>
    </row>
    <row r="14" spans="1:26">
      <c r="D14" t="s">
        <v>1657</v>
      </c>
      <c r="E14">
        <v>2</v>
      </c>
      <c r="F14" t="s">
        <v>1658</v>
      </c>
      <c r="G14" t="s">
        <v>1659</v>
      </c>
      <c r="I14" s="77">
        <v>44396</v>
      </c>
      <c r="J14" s="77">
        <v>44407</v>
      </c>
      <c r="Y14">
        <v>0</v>
      </c>
      <c r="Z14">
        <v>0</v>
      </c>
    </row>
    <row r="15" spans="1:26">
      <c r="D15" t="s">
        <v>1660</v>
      </c>
      <c r="E15">
        <v>3</v>
      </c>
      <c r="F15" t="s">
        <v>1661</v>
      </c>
      <c r="G15" t="s">
        <v>1662</v>
      </c>
      <c r="I15" s="77">
        <v>44396</v>
      </c>
      <c r="J15" s="77">
        <v>44400</v>
      </c>
      <c r="W15" t="s">
        <v>1663</v>
      </c>
      <c r="Y15">
        <v>0</v>
      </c>
      <c r="Z15">
        <v>0</v>
      </c>
    </row>
    <row r="16" spans="1:26">
      <c r="D16" t="s">
        <v>1664</v>
      </c>
      <c r="E16">
        <v>3</v>
      </c>
      <c r="F16" t="s">
        <v>1665</v>
      </c>
      <c r="G16" t="s">
        <v>1666</v>
      </c>
      <c r="I16" s="77">
        <v>44403</v>
      </c>
      <c r="J16" s="77">
        <v>44405</v>
      </c>
      <c r="K16" s="77" t="s">
        <v>1667</v>
      </c>
      <c r="N16" s="77" t="s">
        <v>1667</v>
      </c>
      <c r="W16" t="s">
        <v>1668</v>
      </c>
      <c r="Y16">
        <v>0</v>
      </c>
      <c r="Z16">
        <v>0</v>
      </c>
    </row>
    <row r="17" spans="4:26">
      <c r="D17" t="s">
        <v>1669</v>
      </c>
      <c r="E17">
        <v>3</v>
      </c>
      <c r="F17" t="s">
        <v>1670</v>
      </c>
      <c r="G17" t="s">
        <v>1671</v>
      </c>
      <c r="I17" s="77">
        <v>44406</v>
      </c>
      <c r="J17" s="77">
        <v>44407</v>
      </c>
      <c r="W17" t="s">
        <v>1672</v>
      </c>
      <c r="Y17">
        <v>0</v>
      </c>
      <c r="Z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문서" ma:contentTypeID="0x0101004662054DF691F14794889640FDE913A2" ma:contentTypeVersion="11" ma:contentTypeDescription="새 문서를 만듭니다." ma:contentTypeScope="" ma:versionID="40d1bf5732da12ad1f95d79cb43762fa">
  <xsd:schema xmlns:xsd="http://www.w3.org/2001/XMLSchema" xmlns:xs="http://www.w3.org/2001/XMLSchema" xmlns:p="http://schemas.microsoft.com/office/2006/metadata/properties" xmlns:ns2="6e29d2eb-de5d-4b23-81e4-5fe3b0cc4110" xmlns:ns3="84480191-7f35-4f7a-b6ff-af38404ba877" targetNamespace="http://schemas.microsoft.com/office/2006/metadata/properties" ma:root="true" ma:fieldsID="57b13f51e3ae8d31552bf7e7450b9286" ns2:_="" ns3:_="">
    <xsd:import namespace="6e29d2eb-de5d-4b23-81e4-5fe3b0cc4110"/>
    <xsd:import namespace="84480191-7f35-4f7a-b6ff-af38404ba877"/>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e29d2eb-de5d-4b23-81e4-5fe3b0cc411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이미지 태그" ma:readOnly="false" ma:fieldId="{5cf76f15-5ced-4ddc-b409-7134ff3c332f}" ma:taxonomyMulti="true" ma:sspId="eddafe65-beff-4c45-a2e2-6ea449149eea"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SearchProperties" ma:index="16" nillable="true" ma:displayName="MediaServiceSearchProperties" ma:hidden="true" ma:internalName="MediaServiceSearchProperties" ma:readOnly="true">
      <xsd:simpleType>
        <xsd:restriction base="dms:Note"/>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4480191-7f35-4f7a-b6ff-af38404ba877"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45a873f0-275c-4f3c-a731-6b618e0936d9}" ma:internalName="TaxCatchAll" ma:showField="CatchAllData" ma:web="84480191-7f35-4f7a-b6ff-af38404ba87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콘텐츠 형식"/>
        <xsd:element ref="dc:title" minOccurs="0" maxOccurs="1" ma:index="4" ma:displayName="제목"/>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84480191-7f35-4f7a-b6ff-af38404ba877" xsi:nil="true"/>
    <lcf76f155ced4ddcb4097134ff3c332f xmlns="6e29d2eb-de5d-4b23-81e4-5fe3b0cc4110">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A0AB8B6-FC12-47AF-8179-C3760A28DBE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e29d2eb-de5d-4b23-81e4-5fe3b0cc4110"/>
    <ds:schemaRef ds:uri="84480191-7f35-4f7a-b6ff-af38404ba8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1337CA1-330F-4C80-8168-14ABD2AAE8FB}">
  <ds:schemaRefs>
    <ds:schemaRef ds:uri="http://www.w3.org/XML/1998/namespace"/>
    <ds:schemaRef ds:uri="http://purl.org/dc/dcmitype/"/>
    <ds:schemaRef ds:uri="http://schemas.openxmlformats.org/package/2006/metadata/core-properties"/>
    <ds:schemaRef ds:uri="http://purl.org/dc/terms/"/>
    <ds:schemaRef ds:uri="http://schemas.microsoft.com/office/2006/documentManagement/types"/>
    <ds:schemaRef ds:uri="84480191-7f35-4f7a-b6ff-af38404ba877"/>
    <ds:schemaRef ds:uri="http://schemas.microsoft.com/office/infopath/2007/PartnerControls"/>
    <ds:schemaRef ds:uri="6e29d2eb-de5d-4b23-81e4-5fe3b0cc4110"/>
    <ds:schemaRef ds:uri="http://schemas.microsoft.com/office/2006/metadata/properties"/>
    <ds:schemaRef ds:uri="http://purl.org/dc/elements/1.1/"/>
  </ds:schemaRefs>
</ds:datastoreItem>
</file>

<file path=customXml/itemProps3.xml><?xml version="1.0" encoding="utf-8"?>
<ds:datastoreItem xmlns:ds="http://schemas.openxmlformats.org/officeDocument/2006/customXml" ds:itemID="{62535901-D638-44DA-84AC-4AA50CEEAE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한정은</dc:creator>
  <cp:keywords/>
  <dc:description/>
  <cp:lastModifiedBy>유병엽/데이터거버넌스팀</cp:lastModifiedBy>
  <cp:revision/>
  <dcterms:created xsi:type="dcterms:W3CDTF">2018-02-18T09:45:14Z</dcterms:created>
  <dcterms:modified xsi:type="dcterms:W3CDTF">2023-04-10T06:33:44Z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0x0101004662054DF691F14794889640FDE913A2</vt:lpwstr>
  </property>
  <property fmtid="{D5CDD505-2E9C-101B-9397-08002B2CF9AE}" pid="3" name="MediaServiceImageTags">
    <vt:lpwstr/>
  </property>
</Properties>
</file>